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Nativeapps\ToBeSaved\SKM17 Documents\skm17\3DS\07. Expense\ExpenseUtil_v.1.11_branch_A.1\"/>
    </mc:Choice>
  </mc:AlternateContent>
  <xr:revisionPtr revIDLastSave="0" documentId="13_ncr:1_{72DC01E7-45BF-4AE1-BBA5-1D42BC6240C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Template" sheetId="1" r:id="rId1"/>
    <sheet name="op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" i="1" l="1"/>
  <c r="A8" i="1"/>
  <c r="A11" i="1" l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4" i="1"/>
  <c r="A5" i="1"/>
  <c r="A6" i="1"/>
  <c r="A7" i="1"/>
  <c r="A9" i="1"/>
  <c r="A10" i="1"/>
</calcChain>
</file>

<file path=xl/sharedStrings.xml><?xml version="1.0" encoding="utf-8"?>
<sst xmlns="http://schemas.openxmlformats.org/spreadsheetml/2006/main" count="495" uniqueCount="330">
  <si>
    <t>Expense Type</t>
    <phoneticPr fontId="1" type="noConversion"/>
  </si>
  <si>
    <t>Description</t>
    <phoneticPr fontId="1" type="noConversion"/>
  </si>
  <si>
    <t>Payment Type</t>
    <phoneticPr fontId="1" type="noConversion"/>
  </si>
  <si>
    <t>Billing Type</t>
    <phoneticPr fontId="1" type="noConversion"/>
  </si>
  <si>
    <t>Amount</t>
    <phoneticPr fontId="1" type="noConversion"/>
  </si>
  <si>
    <t>Currency</t>
    <phoneticPr fontId="1" type="noConversion"/>
  </si>
  <si>
    <t>Kilometers</t>
    <phoneticPr fontId="1" type="noConversion"/>
  </si>
  <si>
    <t>Attendee 1</t>
    <phoneticPr fontId="1" type="noConversion"/>
  </si>
  <si>
    <t>Name</t>
    <phoneticPr fontId="1" type="noConversion"/>
  </si>
  <si>
    <t>Company</t>
    <phoneticPr fontId="1" type="noConversion"/>
  </si>
  <si>
    <t>Title</t>
    <phoneticPr fontId="1" type="noConversion"/>
  </si>
  <si>
    <t>Attendee 2</t>
    <phoneticPr fontId="1" type="noConversion"/>
  </si>
  <si>
    <t>Attendee 3</t>
  </si>
  <si>
    <t>Attendee 4</t>
  </si>
  <si>
    <t>Attendee 5</t>
  </si>
  <si>
    <t>Attendee 6</t>
  </si>
  <si>
    <t>Attendee 7</t>
  </si>
  <si>
    <t>Attendee 8</t>
  </si>
  <si>
    <t>Attendee 9</t>
  </si>
  <si>
    <t>Attendee 10</t>
  </si>
  <si>
    <t>Attendee 11</t>
  </si>
  <si>
    <t>Attendee 12</t>
  </si>
  <si>
    <t>Airfare</t>
  </si>
  <si>
    <t>Bank Charge Fees</t>
  </si>
  <si>
    <t>Car Maintenance</t>
  </si>
  <si>
    <t>Car Rental</t>
  </si>
  <si>
    <t>Fuel Gasoline</t>
  </si>
  <si>
    <t>Hotel Room</t>
  </si>
  <si>
    <t>Internet</t>
  </si>
  <si>
    <t>Laundry</t>
  </si>
  <si>
    <t>Miscellaneous</t>
  </si>
  <si>
    <t>Office Supplies</t>
  </si>
  <si>
    <t>Over Time Meal</t>
  </si>
  <si>
    <t>Parking</t>
  </si>
  <si>
    <t>Parking Allowance</t>
  </si>
  <si>
    <t>Postage</t>
  </si>
  <si>
    <t>Public transportation</t>
  </si>
  <si>
    <t>Subscription Membership</t>
  </si>
  <si>
    <t>Taxi</t>
  </si>
  <si>
    <t>Telephone Mobile</t>
  </si>
  <si>
    <t>Toll</t>
  </si>
  <si>
    <t>Train Ferry</t>
  </si>
  <si>
    <t>Training</t>
  </si>
  <si>
    <t>Travel Service Fees</t>
  </si>
  <si>
    <t>Visa Customs Fees</t>
  </si>
  <si>
    <t>PREPAID</t>
  </si>
  <si>
    <t>Payment Type</t>
    <phoneticPr fontId="1" type="noConversion"/>
  </si>
  <si>
    <t>Billing Type</t>
    <phoneticPr fontId="1" type="noConversion"/>
  </si>
  <si>
    <t>CorpNonBillable</t>
  </si>
  <si>
    <t>Proj Billable</t>
  </si>
  <si>
    <t>ProjNonBillable</t>
  </si>
  <si>
    <t>KRW</t>
    <phoneticPr fontId="1" type="noConversion"/>
  </si>
  <si>
    <t>USD</t>
    <phoneticPr fontId="1" type="noConversion"/>
  </si>
  <si>
    <t>EUR</t>
    <phoneticPr fontId="1" type="noConversion"/>
  </si>
  <si>
    <t>Currency</t>
    <phoneticPr fontId="1" type="noConversion"/>
  </si>
  <si>
    <t>Number of
Nights</t>
    <phoneticPr fontId="1" type="noConversion"/>
  </si>
  <si>
    <t>Expense
Date</t>
    <phoneticPr fontId="1" type="noConversion"/>
  </si>
  <si>
    <t>No</t>
    <phoneticPr fontId="1" type="noConversion"/>
  </si>
  <si>
    <t>Company</t>
    <phoneticPr fontId="1" type="noConversion"/>
  </si>
  <si>
    <t>DASSAULT SYSTEMES KOREA CORP</t>
    <phoneticPr fontId="1" type="noConversion"/>
  </si>
  <si>
    <t>SEC DS</t>
    <phoneticPr fontId="1" type="noConversion"/>
  </si>
  <si>
    <t>SK Hynix</t>
    <phoneticPr fontId="1" type="noConversion"/>
  </si>
  <si>
    <t>LG Display</t>
    <phoneticPr fontId="1" type="noConversion"/>
  </si>
  <si>
    <t>Name</t>
    <phoneticPr fontId="1" type="noConversion"/>
  </si>
  <si>
    <t>LEE,SangWon</t>
  </si>
  <si>
    <t>KIM,JungHo</t>
  </si>
  <si>
    <t>KIM,KiHyun</t>
  </si>
  <si>
    <t>PARK,JooSam</t>
  </si>
  <si>
    <t>KIM,SungHwan</t>
  </si>
  <si>
    <t>YOO,ChiSeok</t>
  </si>
  <si>
    <t>YANG,ChangHwan</t>
  </si>
  <si>
    <t>JEONG,JinHo</t>
  </si>
  <si>
    <t>MOK,JongSoo</t>
  </si>
  <si>
    <t>HONG,YunHo</t>
  </si>
  <si>
    <t>PARK,SungHee</t>
  </si>
  <si>
    <t>JUNG,HoRim</t>
  </si>
  <si>
    <t>JUNG,SunHo</t>
  </si>
  <si>
    <t>KANG,Seong Sik</t>
  </si>
  <si>
    <t>LIM,Jun Ho</t>
  </si>
  <si>
    <t>Expense
Time</t>
    <phoneticPr fontId="1" type="noConversion"/>
  </si>
  <si>
    <t>BAE,JaeIn</t>
  </si>
  <si>
    <t>BYUN,UiSub</t>
  </si>
  <si>
    <t>CHANG,KuKil</t>
  </si>
  <si>
    <t>CHANG,SungBo</t>
  </si>
  <si>
    <t>CHANG,YoungJoo</t>
  </si>
  <si>
    <t>CHO,WeonJu</t>
  </si>
  <si>
    <t>CHOI,Eui-Sung</t>
  </si>
  <si>
    <t>CHOI,JunHo</t>
  </si>
  <si>
    <t>CHOI,SoonHo</t>
  </si>
  <si>
    <t>CHOI,SunWoung</t>
  </si>
  <si>
    <t>CHOI,WooYoung</t>
  </si>
  <si>
    <t>CHOI,YoungHyun</t>
  </si>
  <si>
    <t>CHUNG,JiWook</t>
  </si>
  <si>
    <t>DO,HwaSu</t>
  </si>
  <si>
    <t>HEO,Joo-Nyoung</t>
  </si>
  <si>
    <t>HUH,In</t>
  </si>
  <si>
    <t>HWANG,Hana</t>
  </si>
  <si>
    <t>HWANG,JiYoung</t>
  </si>
  <si>
    <t>HWANG,SangYun</t>
  </si>
  <si>
    <t>JANG,HeuiJun</t>
  </si>
  <si>
    <t>JHUN,YooJin</t>
  </si>
  <si>
    <t>JIN,HyunSeok</t>
  </si>
  <si>
    <t>JO,GyeongHun</t>
  </si>
  <si>
    <t>JUNG,SungWoon</t>
  </si>
  <si>
    <t>KIM,ByungKyoon</t>
  </si>
  <si>
    <t>KIM,CheolSoo</t>
  </si>
  <si>
    <t>KIM,ChongUck</t>
  </si>
  <si>
    <t>KIM,ChunKwang</t>
  </si>
  <si>
    <t>KIM,EunKwang</t>
  </si>
  <si>
    <t>KIM,Gunwoo</t>
  </si>
  <si>
    <t>KIM,HwaJung</t>
  </si>
  <si>
    <t>KIM,Hyang-Jin</t>
  </si>
  <si>
    <t>KIM,Hyun</t>
  </si>
  <si>
    <t>KIM,HyunJin</t>
  </si>
  <si>
    <t>KIM,JaeBoo</t>
  </si>
  <si>
    <t>KIM,Ji-Hoon</t>
  </si>
  <si>
    <t>KIM,Jun Won</t>
  </si>
  <si>
    <t>KIM,KiTae</t>
  </si>
  <si>
    <t>KIM,MinSu</t>
  </si>
  <si>
    <t>KIM,Myoung-Hak</t>
  </si>
  <si>
    <t>KIM,SungHo</t>
  </si>
  <si>
    <t>KIM,TaiYeoun</t>
  </si>
  <si>
    <t>KIM,Yeong Jin</t>
  </si>
  <si>
    <t>KIM,YoungJae</t>
  </si>
  <si>
    <t>KIM,YoungRo</t>
  </si>
  <si>
    <t>KIM,YoungSang</t>
  </si>
  <si>
    <t>KIM,YounMi</t>
  </si>
  <si>
    <t>KWON,JooDal</t>
  </si>
  <si>
    <t>LEE,ChanYoung</t>
  </si>
  <si>
    <t>LEE,ChungHun</t>
  </si>
  <si>
    <t>LEE,GyuLi</t>
  </si>
  <si>
    <t>LEE,JaeWoong</t>
  </si>
  <si>
    <t>LEE,JaeYi</t>
  </si>
  <si>
    <t>LEE,JeongDae</t>
  </si>
  <si>
    <t>LEE,JiSoo</t>
  </si>
  <si>
    <t>LEE,JooSang</t>
  </si>
  <si>
    <t>LEE,JungEun</t>
  </si>
  <si>
    <t>LEE,JunHo</t>
  </si>
  <si>
    <t>LEE,KyoungWon</t>
  </si>
  <si>
    <t>LEE,SangHoon</t>
  </si>
  <si>
    <t>LEE,TaeHan</t>
  </si>
  <si>
    <t>MOON,Gwi Dong</t>
  </si>
  <si>
    <t>NAM,YunChan</t>
  </si>
  <si>
    <t>OH,EunJung</t>
  </si>
  <si>
    <t>OH,JooBong</t>
  </si>
  <si>
    <t>PARK,BumSoo</t>
  </si>
  <si>
    <t>PARK,DaeGi</t>
  </si>
  <si>
    <t>PARK,KiSeok</t>
  </si>
  <si>
    <t>PARK,Kyungdeok</t>
  </si>
  <si>
    <t>PARK,KyungHo</t>
  </si>
  <si>
    <t>PARK,SangAh</t>
  </si>
  <si>
    <t>PARK,SuKyung</t>
  </si>
  <si>
    <t>PARK,YongIk</t>
  </si>
  <si>
    <t>PARK,YoungGyun</t>
  </si>
  <si>
    <t>PARK,YoungJin</t>
  </si>
  <si>
    <t>SEOK,Hee-Soo</t>
  </si>
  <si>
    <t>SHIM,InBo</t>
  </si>
  <si>
    <t>SHIN,HeeChong</t>
  </si>
  <si>
    <t>SO,JunSeop</t>
  </si>
  <si>
    <t>SON,TaeIk</t>
  </si>
  <si>
    <t>SONG,JungKwon</t>
  </si>
  <si>
    <t>SONG,Woo-Gil</t>
  </si>
  <si>
    <t>YANG,KyungPil</t>
  </si>
  <si>
    <t>YANG,Oh-Seok</t>
  </si>
  <si>
    <t>YEO,MinYoung</t>
  </si>
  <si>
    <t>YEON,Jei-Wook</t>
  </si>
  <si>
    <t>YEUN,DongYun</t>
  </si>
  <si>
    <t>YOON,HeeSoo</t>
  </si>
  <si>
    <t>YOUN,HeeChan</t>
  </si>
  <si>
    <t>YUN,HyungSun</t>
  </si>
  <si>
    <t>YUN,YoungGon</t>
  </si>
  <si>
    <t>Hyundai Rotem</t>
    <phoneticPr fontId="1" type="noConversion"/>
  </si>
  <si>
    <t>HKMC</t>
    <phoneticPr fontId="1" type="noConversion"/>
  </si>
  <si>
    <t>SEC Foundry</t>
    <phoneticPr fontId="1" type="noConversion"/>
  </si>
  <si>
    <t>Breakfast Indiv or Colleagues</t>
  </si>
  <si>
    <t>Dinner Indiv or Colleagues</t>
  </si>
  <si>
    <t>Lunch Indiv or Colleagues</t>
  </si>
  <si>
    <t>Team Event Breakfast</t>
  </si>
  <si>
    <t>Team Event Dinner</t>
  </si>
  <si>
    <t>Team Event Lunch</t>
  </si>
  <si>
    <t>JUNG,Woonsung</t>
  </si>
  <si>
    <t>KIM,YoungMyung</t>
  </si>
  <si>
    <t>JUNG,JiWon</t>
  </si>
  <si>
    <t>KANG,SeungHo</t>
  </si>
  <si>
    <t>HAN,Sang Bae</t>
  </si>
  <si>
    <t>PARK,Wonjin</t>
  </si>
  <si>
    <t>JEONG,Jae Wook</t>
  </si>
  <si>
    <t>PARK,SeongKyoon</t>
  </si>
  <si>
    <t>LEE,SangJin</t>
  </si>
  <si>
    <t>LEE,GwangBaek</t>
  </si>
  <si>
    <t>WOO,YoungJoon</t>
  </si>
  <si>
    <t>YANG,JaeUng</t>
  </si>
  <si>
    <t>JUNG,YoenJong</t>
  </si>
  <si>
    <t>LEE,Sang-uk</t>
  </si>
  <si>
    <t>SONG,HoSeob</t>
  </si>
  <si>
    <t>KIM,Hyun-Jun</t>
  </si>
  <si>
    <t>CHOI,Ahreum</t>
  </si>
  <si>
    <t>JANG,YoungHwan</t>
  </si>
  <si>
    <t>CHOI,SueHyun</t>
  </si>
  <si>
    <t>Kang,YunJoo</t>
  </si>
  <si>
    <t>KIM,ChongKook</t>
  </si>
  <si>
    <t>LEE,BongKi</t>
  </si>
  <si>
    <t>CHO,KyungHo</t>
  </si>
  <si>
    <t>Kwak,JunBeom</t>
  </si>
  <si>
    <t>KIM,SangWon</t>
  </si>
  <si>
    <t>KIM,SeungWon</t>
  </si>
  <si>
    <t>JEON,HyeongJae</t>
  </si>
  <si>
    <t>MUN,Ki-Young</t>
  </si>
  <si>
    <t>KANG,ChangMin</t>
  </si>
  <si>
    <t>KU,Seung Hoi</t>
  </si>
  <si>
    <t>KIM,DoHyun</t>
  </si>
  <si>
    <t>CHOI,YunJeong</t>
  </si>
  <si>
    <t>LEE,Seung-Chul</t>
  </si>
  <si>
    <t>YANG,KyungRan</t>
  </si>
  <si>
    <t>CHO,HyunSoo</t>
  </si>
  <si>
    <t>YANG,HanWon</t>
  </si>
  <si>
    <t>HWANG,Seongsu</t>
  </si>
  <si>
    <t>KIM,JaeMin</t>
  </si>
  <si>
    <t>KAHNG,KyungSeok</t>
  </si>
  <si>
    <t>KANG,JuYeon</t>
  </si>
  <si>
    <t>KIM,Munsung</t>
  </si>
  <si>
    <t>PARK,SungOok</t>
  </si>
  <si>
    <t>JANG,Dong-Min</t>
  </si>
  <si>
    <t>LEEM,SangHyuk</t>
  </si>
  <si>
    <t>SONG,Jeeyoung</t>
  </si>
  <si>
    <t>LEE,Kye Jung</t>
  </si>
  <si>
    <t>CHO,Sung Joon</t>
  </si>
  <si>
    <t>JO,Heewon</t>
  </si>
  <si>
    <t>External guest gift</t>
  </si>
  <si>
    <t>Hosp. bfast with ext. guest</t>
  </si>
  <si>
    <t>Hosp. dinner with ext. guest</t>
  </si>
  <si>
    <t>Hosp. lunch with ext. guest</t>
  </si>
  <si>
    <t>Hospitality Other</t>
  </si>
  <si>
    <t>Conference Fees</t>
  </si>
  <si>
    <t>Gifts Approved by HR</t>
  </si>
  <si>
    <t>Special Circumstances Gifts</t>
  </si>
  <si>
    <t>Other Team Spend</t>
  </si>
  <si>
    <t>COVID Travel Test Fee</t>
  </si>
  <si>
    <t>AMEX/CASH</t>
  </si>
  <si>
    <t>EMPLOYEE</t>
  </si>
  <si>
    <t>AHN,ChiWoo</t>
  </si>
  <si>
    <t>AHN,JaeUn</t>
  </si>
  <si>
    <t>AHN,SuBin</t>
  </si>
  <si>
    <t>AN,SeonA</t>
  </si>
  <si>
    <t>BAE,EungKyu</t>
  </si>
  <si>
    <t>CHALKLEY,Stephen</t>
  </si>
  <si>
    <t>CHO,RamJi</t>
  </si>
  <si>
    <t>CHOI,HyungWan</t>
  </si>
  <si>
    <t>CHOI,JunHyuck</t>
  </si>
  <si>
    <t>CHUNG,EunSun</t>
  </si>
  <si>
    <t>CORBIN,Steven</t>
  </si>
  <si>
    <t>CUI,Crystal</t>
  </si>
  <si>
    <t>DEWES,Yannick</t>
  </si>
  <si>
    <t>HAN,HwiCheol</t>
  </si>
  <si>
    <t>HAN,KaYeon</t>
  </si>
  <si>
    <t>HAN,KyungSoo</t>
  </si>
  <si>
    <t>HWANG,Hayoung</t>
  </si>
  <si>
    <t>Jang,Somi</t>
  </si>
  <si>
    <t>JEON,MunSu</t>
  </si>
  <si>
    <t>JEONG,Jeemin</t>
  </si>
  <si>
    <t>JEONG,YongBin</t>
  </si>
  <si>
    <t>JIN,ByungRyul</t>
  </si>
  <si>
    <t>Jin,JuEun</t>
  </si>
  <si>
    <t>Jung,Sungsik</t>
  </si>
  <si>
    <t>JUNG,YuSun</t>
  </si>
  <si>
    <t>KANG,Chanhoe</t>
  </si>
  <si>
    <t>KIM,EungJi</t>
  </si>
  <si>
    <t>KIM,HaeSol</t>
  </si>
  <si>
    <t>KIM,HanYoung</t>
  </si>
  <si>
    <t>KIM,JiHee</t>
  </si>
  <si>
    <t>KIM,JiHyeok</t>
  </si>
  <si>
    <t>KIM,SuHun</t>
  </si>
  <si>
    <t>KIM,SungSu</t>
  </si>
  <si>
    <t>KIM,SunJung</t>
  </si>
  <si>
    <t>Kim,Tae-Rae</t>
  </si>
  <si>
    <t>Kim,YoungNam</t>
  </si>
  <si>
    <t>KO,ByeongHun</t>
  </si>
  <si>
    <t>Kwak,JinKyung</t>
  </si>
  <si>
    <t>KWON,BongJae</t>
  </si>
  <si>
    <t>LECLERC,Guy</t>
  </si>
  <si>
    <t>Lee,AhRa</t>
  </si>
  <si>
    <t>LEE,CheYeon</t>
  </si>
  <si>
    <t>LEE,DongSun</t>
  </si>
  <si>
    <t>LEE,JaeMin</t>
  </si>
  <si>
    <t>LEE,JinHyun</t>
  </si>
  <si>
    <t>LEE,JungYoon</t>
  </si>
  <si>
    <t>LEE,MinIl</t>
  </si>
  <si>
    <t>Lee,Sara</t>
  </si>
  <si>
    <t>LEE,SeongHee</t>
  </si>
  <si>
    <t>LEE,TaeYoung</t>
  </si>
  <si>
    <t>LEE,WonIk</t>
  </si>
  <si>
    <t>M,Nithya</t>
  </si>
  <si>
    <t>OH,MyoungGyun</t>
  </si>
  <si>
    <t>PARK,JeongEun</t>
  </si>
  <si>
    <t>PARK,Taejun</t>
  </si>
  <si>
    <t>REN,Shu</t>
  </si>
  <si>
    <t>RYOO,HyunJung</t>
  </si>
  <si>
    <t>SEO,HwaKyung</t>
  </si>
  <si>
    <t>SHIN,Hyoju</t>
  </si>
  <si>
    <t>Shin,Woojin</t>
  </si>
  <si>
    <t>Toh,Sharon</t>
  </si>
  <si>
    <t>YANG,SeungHwan</t>
  </si>
  <si>
    <t>YOON,JaeMin</t>
  </si>
  <si>
    <t>KM Mileage</t>
  </si>
  <si>
    <t>Expense Template v1.1.11</t>
    <phoneticPr fontId="1" type="noConversion"/>
  </si>
  <si>
    <t>Train Ferry</t>
    <phoneticPr fontId="1" type="noConversion"/>
  </si>
  <si>
    <t>ADD MBSE Seminar: Seoul to Daejeon</t>
    <phoneticPr fontId="7" type="noConversion"/>
  </si>
  <si>
    <t>Lunch Indiv or Colleagues</t>
    <phoneticPr fontId="1" type="noConversion"/>
  </si>
  <si>
    <t>AAM MBSE Project Pre-Meeting</t>
    <phoneticPr fontId="7" type="noConversion"/>
  </si>
  <si>
    <t>AAM MBSE Project Pre-Meeting: from home to customer</t>
    <phoneticPr fontId="7" type="noConversion"/>
  </si>
  <si>
    <t>Hospitality Other</t>
    <phoneticPr fontId="1" type="noConversion"/>
  </si>
  <si>
    <t>AAM MBSE Project Pre-Meeting: from customer to home</t>
    <phoneticPr fontId="7" type="noConversion"/>
  </si>
  <si>
    <t>Hosp. lunch with ext. guest</t>
    <phoneticPr fontId="1" type="noConversion"/>
  </si>
  <si>
    <t>ADD MBSE Seminar</t>
    <phoneticPr fontId="7" type="noConversion"/>
  </si>
  <si>
    <t>ADD MBSE Seminar: from home to train station</t>
    <phoneticPr fontId="7" type="noConversion"/>
  </si>
  <si>
    <t>Breakfast Indiv or Colleagues</t>
    <phoneticPr fontId="1" type="noConversion"/>
  </si>
  <si>
    <t>ADD MBSE Seminar: from train station to business place</t>
    <phoneticPr fontId="7" type="noConversion"/>
  </si>
  <si>
    <t>ADD MBSE Seminar: from business place to customer site</t>
    <phoneticPr fontId="7" type="noConversion"/>
  </si>
  <si>
    <t>ADD MBSE Seminar: Daejeon to Seoul</t>
    <phoneticPr fontId="7" type="noConversion"/>
  </si>
  <si>
    <t>Dinner Indiv or Colleagues</t>
    <phoneticPr fontId="1" type="noConversion"/>
  </si>
  <si>
    <t>ADD MBSE Seminar: from train station to home</t>
    <phoneticPr fontId="7" type="noConversion"/>
  </si>
  <si>
    <t>OT Taxi</t>
    <phoneticPr fontId="7" type="noConversion"/>
  </si>
  <si>
    <t>KAI MBSE Support</t>
    <phoneticPr fontId="7" type="noConversion"/>
  </si>
  <si>
    <t>KRW</t>
  </si>
  <si>
    <t>Yeo, Seonggoo</t>
    <phoneticPr fontId="1" type="noConversion"/>
  </si>
  <si>
    <t>AAM</t>
    <phoneticPr fontId="1" type="noConversion"/>
  </si>
  <si>
    <t>Choi, heejin</t>
    <phoneticPr fontId="1" type="noConversion"/>
  </si>
  <si>
    <t>IsPark</t>
    <phoneticPr fontId="1" type="noConversion"/>
  </si>
  <si>
    <t>Yoon, yongmin</t>
    <phoneticPr fontId="1" type="noConversion"/>
  </si>
  <si>
    <t>KAI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</si>
</sst>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#,##0_ ;[Red]\-#,##0\ "/>
    <numFmt numFmtId="178" formatCode="0_ ;[Red]\-0\ 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scheme val="minor"/>
    </font>
    <font>
      <sz val="10"/>
      <color indexed="63"/>
      <name val="맑은 고딕"/>
    </font>
    <font>
      <sz val="10"/>
      <name val="Arial"/>
      <family val="2"/>
    </font>
    <font>
      <sz val="8"/>
      <name val="BatangChe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0" fontId="4" fillId="3" borderId="1" xfId="0" applyFont="1" applyFill="1" applyBorder="1" applyAlignment="1">
      <alignment horizontal="center" vertical="center"/>
    </xf>
    <xf numFmtId="177" fontId="4" fillId="5" borderId="1" xfId="0" applyNumberFormat="1" applyFont="1" applyFill="1" applyBorder="1">
      <alignment vertical="center"/>
    </xf>
    <xf numFmtId="0" fontId="0" fillId="0" borderId="0" xfId="0" applyAlignment="1"/>
    <xf numFmtId="0" fontId="0" fillId="6" borderId="1" xfId="0" applyFill="1" applyBorder="1">
      <alignment vertical="center"/>
    </xf>
    <xf numFmtId="176" fontId="0" fillId="6" borderId="1" xfId="0" applyNumberFormat="1" applyFill="1" applyBorder="1" applyProtection="1">
      <alignment vertical="center"/>
      <protection locked="0"/>
    </xf>
    <xf numFmtId="0" fontId="0" fillId="6" borderId="1" xfId="0" applyFill="1" applyBorder="1" applyProtection="1">
      <alignment vertical="center"/>
      <protection locked="0"/>
    </xf>
    <xf numFmtId="178" fontId="0" fillId="6" borderId="1" xfId="0" applyNumberFormat="1" applyFill="1" applyBorder="1" applyProtection="1">
      <alignment vertical="center"/>
      <protection locked="0"/>
    </xf>
    <xf numFmtId="0" fontId="0" fillId="6" borderId="0" xfId="0" applyFont="1" applyFill="1">
      <alignment vertical="center"/>
    </xf>
    <xf numFmtId="0" fontId="0" fillId="6" borderId="1" xfId="0" applyFont="1" applyFill="1" applyBorder="1" applyProtection="1">
      <alignment vertical="center"/>
      <protection locked="0"/>
    </xf>
    <xf numFmtId="0" fontId="0" fillId="6" borderId="0" xfId="0" applyFill="1">
      <alignment vertical="center"/>
    </xf>
    <xf numFmtId="0" fontId="4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14" fontId="5" fillId="0" borderId="4" xfId="0" applyNumberFormat="1" applyFont="1" applyBorder="1" applyAlignment="1">
      <alignment horizontal="center" vertical="center" wrapText="1"/>
    </xf>
    <xf numFmtId="0" fontId="6" fillId="0" borderId="0" xfId="0" applyFont="1">
      <alignment vertical="center"/>
    </xf>
    <xf numFmtId="3" fontId="5" fillId="0" borderId="4" xfId="0" applyNumberFormat="1" applyFont="1" applyBorder="1" applyAlignment="1">
      <alignment horizontal="right" vertical="center" wrapText="1"/>
    </xf>
    <xf numFmtId="0" fontId="0" fillId="5" borderId="1" xfId="0" applyFont="1" applyFill="1" applyBorder="1" applyProtection="1">
      <alignment vertical="center"/>
      <protection locked="0"/>
    </xf>
  </cellXfs>
  <cellStyles count="1">
    <cellStyle name="표준" xfId="0" builtinId="0"/>
  </cellStyles>
  <dxfs count="348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29"/>
  <sheetViews>
    <sheetView tabSelected="1" zoomScaleNormal="100" workbookViewId="0">
      <pane xSplit="2" ySplit="3" topLeftCell="D4" activePane="bottomRight" state="frozen"/>
      <selection pane="topRight" activeCell="C1" sqref="C1"/>
      <selection pane="bottomLeft" activeCell="A4" sqref="A4"/>
      <selection pane="bottomRight" activeCell="J24" sqref="J24"/>
    </sheetView>
  </sheetViews>
  <sheetFormatPr defaultRowHeight="16.5"/>
  <cols>
    <col min="1" max="1" width="4.375" customWidth="1"/>
    <col min="2" max="2" width="10.875" customWidth="1"/>
    <col min="3" max="3" width="8.875" bestFit="1" customWidth="1"/>
    <col min="4" max="4" width="27.375" bestFit="1" customWidth="1"/>
    <col min="5" max="5" width="42.375" customWidth="1"/>
    <col min="6" max="6" width="12.875" customWidth="1"/>
    <col min="8" max="8" width="23.125" customWidth="1"/>
    <col min="9" max="9" width="15.375" customWidth="1"/>
    <col min="10" max="10" width="9.625" customWidth="1"/>
    <col min="11" max="11" width="5.875" customWidth="1"/>
    <col min="12" max="12" width="15.625" customWidth="1"/>
    <col min="13" max="13" width="22.125" bestFit="1" customWidth="1"/>
    <col min="14" max="47" width="15.625" customWidth="1"/>
  </cols>
  <sheetData>
    <row r="1" spans="1:47" ht="26.25">
      <c r="A1" s="1" t="s">
        <v>304</v>
      </c>
      <c r="F1" s="4">
        <f>SUM(F4:F29)</f>
        <v>709100</v>
      </c>
    </row>
    <row r="2" spans="1:47">
      <c r="A2" s="14" t="s">
        <v>57</v>
      </c>
      <c r="B2" s="15" t="s">
        <v>56</v>
      </c>
      <c r="C2" s="16" t="s">
        <v>79</v>
      </c>
      <c r="D2" s="14" t="s">
        <v>0</v>
      </c>
      <c r="E2" s="14" t="s">
        <v>1</v>
      </c>
      <c r="F2" s="14" t="s">
        <v>4</v>
      </c>
      <c r="G2" s="14" t="s">
        <v>5</v>
      </c>
      <c r="H2" s="14" t="s">
        <v>2</v>
      </c>
      <c r="I2" s="14" t="s">
        <v>3</v>
      </c>
      <c r="J2" s="13" t="s">
        <v>6</v>
      </c>
      <c r="K2" s="18" t="s">
        <v>55</v>
      </c>
      <c r="L2" s="13" t="s">
        <v>7</v>
      </c>
      <c r="M2" s="13"/>
      <c r="N2" s="13"/>
      <c r="O2" s="13" t="s">
        <v>11</v>
      </c>
      <c r="P2" s="13"/>
      <c r="Q2" s="13"/>
      <c r="R2" s="13" t="s">
        <v>12</v>
      </c>
      <c r="S2" s="13"/>
      <c r="T2" s="13"/>
      <c r="U2" s="13" t="s">
        <v>13</v>
      </c>
      <c r="V2" s="13"/>
      <c r="W2" s="13"/>
      <c r="X2" s="13" t="s">
        <v>14</v>
      </c>
      <c r="Y2" s="13"/>
      <c r="Z2" s="13"/>
      <c r="AA2" s="13" t="s">
        <v>15</v>
      </c>
      <c r="AB2" s="13"/>
      <c r="AC2" s="13"/>
      <c r="AD2" s="13" t="s">
        <v>16</v>
      </c>
      <c r="AE2" s="13"/>
      <c r="AF2" s="13"/>
      <c r="AG2" s="13" t="s">
        <v>17</v>
      </c>
      <c r="AH2" s="13"/>
      <c r="AI2" s="13"/>
      <c r="AJ2" s="13" t="s">
        <v>18</v>
      </c>
      <c r="AK2" s="13"/>
      <c r="AL2" s="13"/>
      <c r="AM2" s="13" t="s">
        <v>19</v>
      </c>
      <c r="AN2" s="13"/>
      <c r="AO2" s="13"/>
      <c r="AP2" s="13" t="s">
        <v>20</v>
      </c>
      <c r="AQ2" s="13"/>
      <c r="AR2" s="13"/>
      <c r="AS2" s="13" t="s">
        <v>21</v>
      </c>
      <c r="AT2" s="13"/>
      <c r="AU2" s="13"/>
    </row>
    <row r="3" spans="1:47">
      <c r="A3" s="14"/>
      <c r="B3" s="14"/>
      <c r="C3" s="17"/>
      <c r="D3" s="14"/>
      <c r="E3" s="14"/>
      <c r="F3" s="14"/>
      <c r="G3" s="14"/>
      <c r="H3" s="14"/>
      <c r="I3" s="14"/>
      <c r="J3" s="13"/>
      <c r="K3" s="13"/>
      <c r="L3" s="3" t="s">
        <v>8</v>
      </c>
      <c r="M3" s="3" t="s">
        <v>9</v>
      </c>
      <c r="N3" s="3" t="s">
        <v>10</v>
      </c>
      <c r="O3" s="3" t="s">
        <v>8</v>
      </c>
      <c r="P3" s="3" t="s">
        <v>9</v>
      </c>
      <c r="Q3" s="3" t="s">
        <v>10</v>
      </c>
      <c r="R3" s="3" t="s">
        <v>8</v>
      </c>
      <c r="S3" s="3" t="s">
        <v>9</v>
      </c>
      <c r="T3" s="3" t="s">
        <v>10</v>
      </c>
      <c r="U3" s="3" t="s">
        <v>8</v>
      </c>
      <c r="V3" s="3" t="s">
        <v>9</v>
      </c>
      <c r="W3" s="3" t="s">
        <v>10</v>
      </c>
      <c r="X3" s="3" t="s">
        <v>8</v>
      </c>
      <c r="Y3" s="3" t="s">
        <v>9</v>
      </c>
      <c r="Z3" s="3" t="s">
        <v>10</v>
      </c>
      <c r="AA3" s="3" t="s">
        <v>8</v>
      </c>
      <c r="AB3" s="3" t="s">
        <v>9</v>
      </c>
      <c r="AC3" s="3" t="s">
        <v>10</v>
      </c>
      <c r="AD3" s="3" t="s">
        <v>8</v>
      </c>
      <c r="AE3" s="3" t="s">
        <v>9</v>
      </c>
      <c r="AF3" s="3" t="s">
        <v>10</v>
      </c>
      <c r="AG3" s="3" t="s">
        <v>8</v>
      </c>
      <c r="AH3" s="3" t="s">
        <v>9</v>
      </c>
      <c r="AI3" s="3" t="s">
        <v>10</v>
      </c>
      <c r="AJ3" s="3" t="s">
        <v>8</v>
      </c>
      <c r="AK3" s="3" t="s">
        <v>9</v>
      </c>
      <c r="AL3" s="3" t="s">
        <v>10</v>
      </c>
      <c r="AM3" s="3" t="s">
        <v>8</v>
      </c>
      <c r="AN3" s="3" t="s">
        <v>9</v>
      </c>
      <c r="AO3" s="3" t="s">
        <v>10</v>
      </c>
      <c r="AP3" s="3" t="s">
        <v>8</v>
      </c>
      <c r="AQ3" s="3" t="s">
        <v>9</v>
      </c>
      <c r="AR3" s="3" t="s">
        <v>10</v>
      </c>
      <c r="AS3" s="3" t="s">
        <v>8</v>
      </c>
      <c r="AT3" s="3" t="s">
        <v>9</v>
      </c>
      <c r="AU3" s="3" t="s">
        <v>10</v>
      </c>
    </row>
    <row r="4" spans="1:47" s="12" customFormat="1">
      <c r="A4" s="6">
        <f t="shared" ref="A4:A29" si="0">ROW()-3</f>
        <v>1</v>
      </c>
      <c r="B4" s="19">
        <v>45873</v>
      </c>
      <c r="C4" s="7"/>
      <c r="D4" t="s">
        <v>305</v>
      </c>
      <c r="E4" s="20" t="s">
        <v>306</v>
      </c>
      <c r="F4" s="21">
        <v>32800</v>
      </c>
      <c r="G4" s="8" t="s">
        <v>323</v>
      </c>
      <c r="H4" s="8" t="s">
        <v>238</v>
      </c>
      <c r="I4" s="8" t="s">
        <v>48</v>
      </c>
      <c r="J4" s="9"/>
      <c r="K4" s="9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</row>
    <row r="5" spans="1:47" s="12" customFormat="1">
      <c r="A5" s="6">
        <f t="shared" si="0"/>
        <v>2</v>
      </c>
      <c r="B5" s="19">
        <v>45874</v>
      </c>
      <c r="C5" s="7"/>
      <c r="D5" t="s">
        <v>307</v>
      </c>
      <c r="E5" s="20" t="s">
        <v>308</v>
      </c>
      <c r="F5" s="21">
        <v>13500</v>
      </c>
      <c r="G5" s="8" t="s">
        <v>323</v>
      </c>
      <c r="H5" s="8" t="s">
        <v>238</v>
      </c>
      <c r="I5" s="8" t="s">
        <v>48</v>
      </c>
      <c r="J5" s="9"/>
      <c r="K5" s="9"/>
      <c r="L5" s="11"/>
      <c r="M5" s="11"/>
      <c r="N5" s="11"/>
      <c r="O5" s="11"/>
      <c r="P5" s="11"/>
      <c r="Q5" s="11"/>
      <c r="R5" s="11"/>
      <c r="S5" s="11"/>
      <c r="T5" s="11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</row>
    <row r="6" spans="1:47" s="12" customFormat="1">
      <c r="A6" s="6">
        <f t="shared" si="0"/>
        <v>3</v>
      </c>
      <c r="B6" s="19">
        <v>45874</v>
      </c>
      <c r="C6" s="7"/>
      <c r="D6" t="s">
        <v>38</v>
      </c>
      <c r="E6" s="20" t="s">
        <v>309</v>
      </c>
      <c r="F6" s="21">
        <v>12400</v>
      </c>
      <c r="G6" s="8" t="s">
        <v>323</v>
      </c>
      <c r="H6" s="8" t="s">
        <v>238</v>
      </c>
      <c r="I6" s="8" t="s">
        <v>48</v>
      </c>
      <c r="J6" s="9"/>
      <c r="K6" s="9"/>
      <c r="L6" s="11"/>
      <c r="M6" s="11"/>
      <c r="N6" s="11"/>
      <c r="O6" s="11"/>
      <c r="P6" s="11"/>
      <c r="Q6" s="11"/>
      <c r="R6" s="11"/>
      <c r="S6" s="11"/>
      <c r="T6" s="11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</row>
    <row r="7" spans="1:47" s="12" customFormat="1">
      <c r="A7" s="6">
        <f t="shared" si="0"/>
        <v>4</v>
      </c>
      <c r="B7" s="19">
        <v>45874</v>
      </c>
      <c r="C7" s="7"/>
      <c r="D7" t="s">
        <v>310</v>
      </c>
      <c r="E7" s="20" t="s">
        <v>308</v>
      </c>
      <c r="F7" s="21">
        <v>2000</v>
      </c>
      <c r="G7" s="8" t="s">
        <v>323</v>
      </c>
      <c r="H7" s="8" t="s">
        <v>238</v>
      </c>
      <c r="I7" s="8" t="s">
        <v>48</v>
      </c>
      <c r="J7" s="9"/>
      <c r="K7" s="9"/>
      <c r="L7" s="22" t="s">
        <v>324</v>
      </c>
      <c r="M7" s="11" t="s">
        <v>325</v>
      </c>
      <c r="N7" s="11"/>
      <c r="O7" s="8"/>
      <c r="P7" s="8"/>
      <c r="Q7" s="11"/>
      <c r="R7" s="11"/>
      <c r="S7" s="11"/>
      <c r="T7" s="11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1:47" s="12" customFormat="1">
      <c r="A8" s="6">
        <f t="shared" si="0"/>
        <v>5</v>
      </c>
      <c r="B8" s="19">
        <v>45874</v>
      </c>
      <c r="C8" s="7"/>
      <c r="D8" t="s">
        <v>38</v>
      </c>
      <c r="E8" s="20" t="s">
        <v>311</v>
      </c>
      <c r="F8" s="21">
        <v>10000</v>
      </c>
      <c r="G8" s="8" t="s">
        <v>323</v>
      </c>
      <c r="H8" s="8" t="s">
        <v>238</v>
      </c>
      <c r="I8" s="8" t="s">
        <v>48</v>
      </c>
      <c r="J8" s="9"/>
      <c r="K8" s="9"/>
      <c r="L8" s="11"/>
      <c r="M8" s="11"/>
      <c r="N8" s="11"/>
      <c r="O8" s="11"/>
      <c r="P8" s="11"/>
      <c r="Q8" s="11"/>
      <c r="R8" s="11"/>
      <c r="S8" s="11"/>
      <c r="T8" s="11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</row>
    <row r="9" spans="1:47" s="12" customFormat="1">
      <c r="A9" s="6">
        <f t="shared" si="0"/>
        <v>6</v>
      </c>
      <c r="B9" s="19">
        <v>45874</v>
      </c>
      <c r="C9" s="7"/>
      <c r="D9" t="s">
        <v>230</v>
      </c>
      <c r="E9" s="20" t="s">
        <v>308</v>
      </c>
      <c r="F9" s="21">
        <v>84000</v>
      </c>
      <c r="G9" s="8" t="s">
        <v>323</v>
      </c>
      <c r="H9" s="8" t="s">
        <v>238</v>
      </c>
      <c r="I9" s="8" t="s">
        <v>48</v>
      </c>
      <c r="J9" s="9"/>
      <c r="K9" s="9"/>
      <c r="L9" s="22" t="s">
        <v>324</v>
      </c>
      <c r="M9" s="11" t="s">
        <v>325</v>
      </c>
      <c r="N9" s="11"/>
      <c r="O9" s="11"/>
      <c r="P9" s="11"/>
      <c r="Q9" s="11"/>
      <c r="R9" s="11"/>
      <c r="S9" s="11"/>
      <c r="T9" s="11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</row>
    <row r="10" spans="1:47" s="12" customFormat="1">
      <c r="A10" s="6">
        <f t="shared" si="0"/>
        <v>7</v>
      </c>
      <c r="B10" s="19">
        <v>45875</v>
      </c>
      <c r="C10" s="7"/>
      <c r="D10" t="s">
        <v>312</v>
      </c>
      <c r="E10" s="20" t="s">
        <v>313</v>
      </c>
      <c r="F10" s="21">
        <v>48000</v>
      </c>
      <c r="G10" s="8" t="s">
        <v>323</v>
      </c>
      <c r="H10" s="8" t="s">
        <v>238</v>
      </c>
      <c r="I10" s="8" t="s">
        <v>48</v>
      </c>
      <c r="J10" s="9"/>
      <c r="K10" s="9"/>
      <c r="L10" s="22" t="s">
        <v>326</v>
      </c>
      <c r="M10" s="11" t="s">
        <v>327</v>
      </c>
      <c r="N10" s="11"/>
      <c r="O10" s="11"/>
      <c r="P10" s="11"/>
      <c r="Q10" s="11"/>
      <c r="R10" s="11"/>
      <c r="S10" s="11"/>
      <c r="T10" s="11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</row>
    <row r="11" spans="1:47" s="12" customFormat="1">
      <c r="A11" s="6">
        <f t="shared" si="0"/>
        <v>8</v>
      </c>
      <c r="B11" s="19">
        <v>45875</v>
      </c>
      <c r="C11" s="7"/>
      <c r="D11" t="s">
        <v>310</v>
      </c>
      <c r="E11" s="20" t="s">
        <v>313</v>
      </c>
      <c r="F11" s="21">
        <v>11300</v>
      </c>
      <c r="G11" s="8" t="s">
        <v>323</v>
      </c>
      <c r="H11" s="8" t="s">
        <v>238</v>
      </c>
      <c r="I11" s="8" t="s">
        <v>48</v>
      </c>
      <c r="J11" s="9"/>
      <c r="K11" s="9"/>
      <c r="L11" s="22" t="s">
        <v>326</v>
      </c>
      <c r="M11" s="11" t="s">
        <v>327</v>
      </c>
      <c r="N11" s="11"/>
      <c r="O11" s="11"/>
      <c r="P11" s="11"/>
      <c r="Q11" s="11"/>
      <c r="R11" s="11"/>
      <c r="S11" s="11"/>
      <c r="T11" s="11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</row>
    <row r="12" spans="1:47" s="12" customFormat="1">
      <c r="A12" s="6">
        <f t="shared" si="0"/>
        <v>9</v>
      </c>
      <c r="B12" s="19">
        <v>45875</v>
      </c>
      <c r="C12" s="7"/>
      <c r="D12" t="s">
        <v>230</v>
      </c>
      <c r="E12" s="20" t="s">
        <v>313</v>
      </c>
      <c r="F12" s="21">
        <v>45800</v>
      </c>
      <c r="G12" s="8" t="s">
        <v>323</v>
      </c>
      <c r="H12" s="8" t="s">
        <v>238</v>
      </c>
      <c r="I12" s="8" t="s">
        <v>48</v>
      </c>
      <c r="J12" s="9"/>
      <c r="K12" s="9"/>
      <c r="L12" s="22" t="s">
        <v>326</v>
      </c>
      <c r="M12" s="11" t="s">
        <v>327</v>
      </c>
      <c r="N12" s="6"/>
      <c r="O12" s="6"/>
      <c r="P12" s="6"/>
      <c r="Q12" s="11"/>
      <c r="R12" s="11"/>
      <c r="S12" s="11"/>
      <c r="T12" s="11"/>
      <c r="U12" s="8"/>
      <c r="V12" s="8"/>
      <c r="W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</row>
    <row r="13" spans="1:47" s="12" customFormat="1">
      <c r="A13" s="6">
        <f t="shared" si="0"/>
        <v>10</v>
      </c>
      <c r="B13" s="19">
        <v>45876</v>
      </c>
      <c r="C13" s="7"/>
      <c r="D13" t="s">
        <v>38</v>
      </c>
      <c r="E13" s="20" t="s">
        <v>314</v>
      </c>
      <c r="F13" s="21">
        <v>12600</v>
      </c>
      <c r="G13" s="8" t="s">
        <v>323</v>
      </c>
      <c r="H13" s="8" t="s">
        <v>238</v>
      </c>
      <c r="I13" s="8" t="s">
        <v>48</v>
      </c>
      <c r="J13" s="9"/>
      <c r="K13" s="9"/>
      <c r="L13" s="11"/>
      <c r="M13" s="11"/>
      <c r="N13" s="11"/>
      <c r="O13" s="11"/>
      <c r="P13" s="11"/>
      <c r="Q13" s="11"/>
      <c r="R13" s="11"/>
      <c r="S13" s="11"/>
      <c r="T13" s="11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</row>
    <row r="14" spans="1:47" s="12" customFormat="1">
      <c r="A14" s="6">
        <f t="shared" si="0"/>
        <v>11</v>
      </c>
      <c r="B14" s="19">
        <v>45876</v>
      </c>
      <c r="C14" s="7"/>
      <c r="D14" t="s">
        <v>315</v>
      </c>
      <c r="E14" s="20" t="s">
        <v>313</v>
      </c>
      <c r="F14" s="21">
        <v>6500</v>
      </c>
      <c r="G14" s="8" t="s">
        <v>323</v>
      </c>
      <c r="H14" s="8" t="s">
        <v>238</v>
      </c>
      <c r="I14" s="8" t="s">
        <v>48</v>
      </c>
      <c r="J14" s="9"/>
      <c r="K14" s="9"/>
      <c r="L14" s="11"/>
      <c r="M14" s="11"/>
      <c r="N14" s="11"/>
      <c r="O14" s="11"/>
      <c r="Q14" s="11"/>
      <c r="R14" s="11"/>
      <c r="S14" s="11"/>
      <c r="T14" s="11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</row>
    <row r="15" spans="1:47" s="12" customFormat="1">
      <c r="A15" s="6">
        <f t="shared" si="0"/>
        <v>12</v>
      </c>
      <c r="B15" s="19">
        <v>45876</v>
      </c>
      <c r="C15" s="7"/>
      <c r="D15" t="s">
        <v>38</v>
      </c>
      <c r="E15" s="20" t="s">
        <v>316</v>
      </c>
      <c r="F15" s="21">
        <v>8400</v>
      </c>
      <c r="G15" s="8" t="s">
        <v>323</v>
      </c>
      <c r="H15" s="8" t="s">
        <v>238</v>
      </c>
      <c r="I15" s="8" t="s">
        <v>48</v>
      </c>
      <c r="J15" s="9"/>
      <c r="K15" s="9"/>
      <c r="L15" s="11"/>
      <c r="M15" s="11"/>
      <c r="N15" s="11"/>
      <c r="O15" s="11"/>
      <c r="P15" s="11"/>
      <c r="Q15" s="11"/>
      <c r="R15" s="11"/>
      <c r="S15" s="11"/>
      <c r="T15" s="11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</row>
    <row r="16" spans="1:47" s="12" customFormat="1">
      <c r="A16" s="6">
        <f t="shared" si="0"/>
        <v>13</v>
      </c>
      <c r="B16" s="19">
        <v>45876</v>
      </c>
      <c r="C16" s="7"/>
      <c r="D16" t="s">
        <v>310</v>
      </c>
      <c r="E16" s="20" t="s">
        <v>313</v>
      </c>
      <c r="F16" s="21">
        <v>5300</v>
      </c>
      <c r="G16" s="8" t="s">
        <v>323</v>
      </c>
      <c r="H16" s="8" t="s">
        <v>238</v>
      </c>
      <c r="I16" s="8" t="s">
        <v>48</v>
      </c>
      <c r="J16" s="9"/>
      <c r="K16" s="9"/>
      <c r="L16" s="22" t="s">
        <v>326</v>
      </c>
      <c r="M16" s="11" t="s">
        <v>327</v>
      </c>
      <c r="N16" s="11"/>
      <c r="O16" s="11"/>
      <c r="P16" s="11"/>
      <c r="Q16" s="11"/>
      <c r="R16" s="11"/>
      <c r="S16" s="11"/>
      <c r="T16" s="11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</row>
    <row r="17" spans="1:47" s="12" customFormat="1">
      <c r="A17" s="6">
        <f t="shared" si="0"/>
        <v>14</v>
      </c>
      <c r="B17" s="19">
        <v>45876</v>
      </c>
      <c r="C17" s="7"/>
      <c r="D17" t="s">
        <v>38</v>
      </c>
      <c r="E17" s="20" t="s">
        <v>317</v>
      </c>
      <c r="F17" s="21">
        <v>12000</v>
      </c>
      <c r="G17" s="8" t="s">
        <v>323</v>
      </c>
      <c r="H17" s="8" t="s">
        <v>238</v>
      </c>
      <c r="I17" s="8" t="s">
        <v>48</v>
      </c>
      <c r="J17" s="9"/>
      <c r="K17" s="9"/>
      <c r="L17" s="11"/>
      <c r="M17" s="11"/>
      <c r="N17" s="11"/>
      <c r="O17" s="11"/>
      <c r="P17" s="11"/>
      <c r="Q17" s="11"/>
      <c r="R17" s="11"/>
      <c r="S17" s="11"/>
      <c r="T17" s="11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</row>
    <row r="18" spans="1:47" s="12" customFormat="1">
      <c r="A18" s="6">
        <f t="shared" si="0"/>
        <v>15</v>
      </c>
      <c r="B18" s="19">
        <v>45876</v>
      </c>
      <c r="C18" s="7"/>
      <c r="D18" t="s">
        <v>305</v>
      </c>
      <c r="E18" s="20" t="s">
        <v>318</v>
      </c>
      <c r="F18" s="21">
        <v>33200</v>
      </c>
      <c r="G18" s="8" t="s">
        <v>323</v>
      </c>
      <c r="H18" s="8" t="s">
        <v>238</v>
      </c>
      <c r="I18" s="8" t="s">
        <v>48</v>
      </c>
      <c r="J18" s="9"/>
      <c r="K18" s="9"/>
      <c r="L18" s="11"/>
      <c r="M18" s="11"/>
      <c r="N18" s="11"/>
      <c r="O18" s="11"/>
      <c r="P18" s="11"/>
      <c r="Q18" s="11"/>
      <c r="R18" s="11"/>
      <c r="S18" s="11"/>
      <c r="T18" s="11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</row>
    <row r="19" spans="1:47" s="12" customFormat="1">
      <c r="A19" s="6">
        <f t="shared" si="0"/>
        <v>16</v>
      </c>
      <c r="B19" s="19">
        <v>45876</v>
      </c>
      <c r="C19" s="7"/>
      <c r="D19" t="s">
        <v>310</v>
      </c>
      <c r="E19" s="20" t="s">
        <v>313</v>
      </c>
      <c r="F19" s="21">
        <v>3600</v>
      </c>
      <c r="G19" s="8" t="s">
        <v>323</v>
      </c>
      <c r="H19" s="8" t="s">
        <v>238</v>
      </c>
      <c r="I19" s="8" t="s">
        <v>48</v>
      </c>
      <c r="J19" s="9"/>
      <c r="K19" s="9"/>
      <c r="L19" s="22" t="s">
        <v>326</v>
      </c>
      <c r="M19" s="11" t="s">
        <v>327</v>
      </c>
      <c r="N19" s="11"/>
      <c r="O19" s="11"/>
      <c r="P19" s="11"/>
      <c r="Q19" s="11"/>
      <c r="R19" s="11"/>
      <c r="S19" s="11"/>
      <c r="T19" s="11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</row>
    <row r="20" spans="1:47" s="12" customFormat="1">
      <c r="A20" s="6">
        <f t="shared" si="0"/>
        <v>17</v>
      </c>
      <c r="B20" s="19">
        <v>45876</v>
      </c>
      <c r="C20" s="7"/>
      <c r="D20" t="s">
        <v>319</v>
      </c>
      <c r="E20" s="20" t="s">
        <v>313</v>
      </c>
      <c r="F20" s="21">
        <v>12800</v>
      </c>
      <c r="G20" s="8" t="s">
        <v>323</v>
      </c>
      <c r="H20" s="8" t="s">
        <v>238</v>
      </c>
      <c r="I20" s="8" t="s">
        <v>48</v>
      </c>
      <c r="J20" s="9"/>
      <c r="K20" s="9"/>
      <c r="L20" s="11"/>
      <c r="M20" s="11"/>
      <c r="N20" s="11"/>
      <c r="O20" s="11"/>
      <c r="P20" s="11"/>
      <c r="Q20" s="11"/>
      <c r="R20" s="11"/>
      <c r="S20" s="11"/>
      <c r="T20" s="11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</row>
    <row r="21" spans="1:47" s="12" customFormat="1">
      <c r="A21" s="6">
        <f t="shared" si="0"/>
        <v>18</v>
      </c>
      <c r="B21" s="19">
        <v>45876</v>
      </c>
      <c r="C21" s="7"/>
      <c r="D21" t="s">
        <v>38</v>
      </c>
      <c r="E21" s="20" t="s">
        <v>320</v>
      </c>
      <c r="F21" s="21">
        <v>21500</v>
      </c>
      <c r="G21" s="8" t="s">
        <v>323</v>
      </c>
      <c r="H21" s="8" t="s">
        <v>238</v>
      </c>
      <c r="I21" s="8" t="s">
        <v>48</v>
      </c>
      <c r="J21" s="9"/>
      <c r="K21" s="9"/>
      <c r="L21" s="11"/>
      <c r="M21" s="11"/>
      <c r="N21" s="11"/>
      <c r="O21" s="11"/>
      <c r="P21" s="11"/>
      <c r="Q21" s="11"/>
      <c r="R21" s="11"/>
      <c r="S21" s="11"/>
      <c r="T21" s="11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</row>
    <row r="22" spans="1:47" s="12" customFormat="1">
      <c r="A22" s="6">
        <f t="shared" si="0"/>
        <v>19</v>
      </c>
      <c r="B22" s="19">
        <v>45877</v>
      </c>
      <c r="C22" s="7"/>
      <c r="D22" t="s">
        <v>38</v>
      </c>
      <c r="E22" s="20" t="s">
        <v>321</v>
      </c>
      <c r="F22" s="21">
        <v>29000</v>
      </c>
      <c r="G22" s="8" t="s">
        <v>323</v>
      </c>
      <c r="H22" s="8" t="s">
        <v>238</v>
      </c>
      <c r="I22" s="8" t="s">
        <v>48</v>
      </c>
      <c r="J22" s="9"/>
      <c r="K22" s="9"/>
      <c r="L22" s="11"/>
      <c r="M22" s="11"/>
      <c r="N22" s="11"/>
      <c r="O22" s="11"/>
      <c r="P22" s="11"/>
      <c r="Q22" s="11"/>
      <c r="R22" s="11"/>
      <c r="S22" s="11"/>
      <c r="T22" s="11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</row>
    <row r="23" spans="1:47" s="12" customFormat="1">
      <c r="A23" s="6">
        <f t="shared" si="0"/>
        <v>20</v>
      </c>
      <c r="B23" s="19">
        <v>45880</v>
      </c>
      <c r="C23" s="7"/>
      <c r="D23" t="s">
        <v>230</v>
      </c>
      <c r="E23" s="20" t="s">
        <v>322</v>
      </c>
      <c r="F23" s="21">
        <v>79000</v>
      </c>
      <c r="G23" s="8" t="s">
        <v>323</v>
      </c>
      <c r="H23" s="8" t="s">
        <v>238</v>
      </c>
      <c r="I23" s="8" t="s">
        <v>48</v>
      </c>
      <c r="J23" s="9"/>
      <c r="K23" s="9"/>
      <c r="L23" s="22" t="s">
        <v>328</v>
      </c>
      <c r="M23" s="11" t="s">
        <v>329</v>
      </c>
      <c r="N23" s="11"/>
      <c r="O23" s="11"/>
      <c r="P23" s="11"/>
      <c r="Q23" s="11"/>
      <c r="R23" s="11"/>
      <c r="S23" s="11"/>
      <c r="T23" s="11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</row>
    <row r="24" spans="1:47" s="12" customFormat="1">
      <c r="A24" s="6">
        <f t="shared" si="0"/>
        <v>21</v>
      </c>
      <c r="B24" s="19">
        <v>45882</v>
      </c>
      <c r="C24" s="7"/>
      <c r="D24" t="s">
        <v>312</v>
      </c>
      <c r="E24" s="20" t="s">
        <v>322</v>
      </c>
      <c r="F24" s="21">
        <v>71500</v>
      </c>
      <c r="G24" s="8" t="s">
        <v>323</v>
      </c>
      <c r="H24" s="8" t="s">
        <v>238</v>
      </c>
      <c r="I24" s="8" t="s">
        <v>48</v>
      </c>
      <c r="J24" s="9"/>
      <c r="K24" s="9"/>
      <c r="L24" s="22" t="s">
        <v>328</v>
      </c>
      <c r="M24" s="11" t="s">
        <v>329</v>
      </c>
      <c r="N24" s="11"/>
      <c r="O24" s="22" t="s">
        <v>326</v>
      </c>
      <c r="P24" s="11" t="s">
        <v>327</v>
      </c>
      <c r="Q24" s="11"/>
      <c r="R24" s="11"/>
      <c r="S24" s="11"/>
      <c r="T24" s="11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</row>
    <row r="25" spans="1:47" s="12" customFormat="1">
      <c r="A25" s="6">
        <f t="shared" si="0"/>
        <v>22</v>
      </c>
      <c r="B25" s="19">
        <v>45882</v>
      </c>
      <c r="C25" s="7"/>
      <c r="D25" t="s">
        <v>310</v>
      </c>
      <c r="E25" s="20" t="s">
        <v>322</v>
      </c>
      <c r="F25" s="21">
        <v>10900</v>
      </c>
      <c r="G25" s="8" t="s">
        <v>323</v>
      </c>
      <c r="H25" s="8" t="s">
        <v>238</v>
      </c>
      <c r="I25" s="8" t="s">
        <v>48</v>
      </c>
      <c r="J25" s="9"/>
      <c r="K25" s="9"/>
      <c r="L25" s="22" t="s">
        <v>326</v>
      </c>
      <c r="M25" s="11" t="s">
        <v>327</v>
      </c>
      <c r="N25" s="11"/>
      <c r="O25" s="11"/>
      <c r="P25" s="11"/>
      <c r="Q25" s="11"/>
      <c r="R25" s="11"/>
      <c r="S25" s="11"/>
      <c r="T25" s="11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</row>
    <row r="26" spans="1:47" s="12" customFormat="1">
      <c r="A26" s="6">
        <f t="shared" si="0"/>
        <v>23</v>
      </c>
      <c r="B26" s="19">
        <v>45882</v>
      </c>
      <c r="C26" s="7"/>
      <c r="D26" t="s">
        <v>310</v>
      </c>
      <c r="E26" s="20" t="s">
        <v>322</v>
      </c>
      <c r="F26" s="21">
        <v>30000</v>
      </c>
      <c r="G26" s="8" t="s">
        <v>323</v>
      </c>
      <c r="H26" s="8" t="s">
        <v>238</v>
      </c>
      <c r="I26" s="8" t="s">
        <v>48</v>
      </c>
      <c r="J26" s="9"/>
      <c r="K26" s="9"/>
      <c r="L26" s="22" t="s">
        <v>326</v>
      </c>
      <c r="M26" s="11" t="s">
        <v>327</v>
      </c>
      <c r="N26" s="11"/>
      <c r="O26" s="11"/>
      <c r="P26" s="11"/>
      <c r="Q26" s="11"/>
      <c r="R26" s="10"/>
      <c r="S26" s="11"/>
      <c r="T26" s="11"/>
      <c r="V26" s="8"/>
      <c r="W26" s="8"/>
      <c r="X26" s="8"/>
      <c r="Y26" s="8"/>
      <c r="Z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</row>
    <row r="27" spans="1:47" s="12" customFormat="1">
      <c r="A27" s="6">
        <f t="shared" si="0"/>
        <v>24</v>
      </c>
      <c r="B27" s="19">
        <v>45882</v>
      </c>
      <c r="C27" s="7"/>
      <c r="D27" t="s">
        <v>38</v>
      </c>
      <c r="E27" s="20" t="s">
        <v>321</v>
      </c>
      <c r="F27" s="21">
        <v>27900</v>
      </c>
      <c r="G27" s="8" t="s">
        <v>323</v>
      </c>
      <c r="H27" s="8" t="s">
        <v>238</v>
      </c>
      <c r="I27" s="8" t="s">
        <v>48</v>
      </c>
      <c r="J27" s="9"/>
      <c r="K27" s="9"/>
      <c r="L27" s="11"/>
      <c r="M27" s="11"/>
      <c r="N27" s="11"/>
      <c r="O27" s="11"/>
      <c r="P27" s="11"/>
      <c r="Q27" s="11"/>
      <c r="R27" s="11"/>
      <c r="S27" s="11"/>
      <c r="T27" s="11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</row>
    <row r="28" spans="1:47" s="12" customFormat="1">
      <c r="A28" s="6">
        <f t="shared" si="0"/>
        <v>25</v>
      </c>
      <c r="B28" s="19">
        <v>45883</v>
      </c>
      <c r="C28" s="7"/>
      <c r="D28" t="s">
        <v>230</v>
      </c>
      <c r="E28" s="20" t="s">
        <v>322</v>
      </c>
      <c r="F28" s="21">
        <v>52000</v>
      </c>
      <c r="G28" s="8" t="s">
        <v>323</v>
      </c>
      <c r="H28" s="8" t="s">
        <v>238</v>
      </c>
      <c r="I28" s="8" t="s">
        <v>48</v>
      </c>
      <c r="J28" s="9"/>
      <c r="K28" s="9"/>
      <c r="L28" s="22" t="s">
        <v>326</v>
      </c>
      <c r="M28" s="11" t="s">
        <v>327</v>
      </c>
      <c r="N28" s="11"/>
      <c r="O28" s="10"/>
      <c r="P28" s="11"/>
      <c r="Q28" s="11"/>
      <c r="R28" s="10"/>
      <c r="S28" s="11"/>
      <c r="T28" s="11"/>
      <c r="V28" s="8"/>
      <c r="W28" s="8"/>
      <c r="X28" s="8"/>
      <c r="Y28" s="8"/>
      <c r="Z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</row>
    <row r="29" spans="1:47" s="12" customFormat="1">
      <c r="A29" s="6">
        <f t="shared" si="0"/>
        <v>26</v>
      </c>
      <c r="B29" s="19">
        <v>45887</v>
      </c>
      <c r="C29" s="7"/>
      <c r="D29" t="s">
        <v>38</v>
      </c>
      <c r="E29" s="20" t="s">
        <v>321</v>
      </c>
      <c r="F29" s="21">
        <v>33100</v>
      </c>
      <c r="G29" s="8" t="s">
        <v>323</v>
      </c>
      <c r="H29" s="8" t="s">
        <v>238</v>
      </c>
      <c r="I29" s="8" t="s">
        <v>48</v>
      </c>
      <c r="J29" s="9"/>
      <c r="K29" s="9"/>
      <c r="L29" s="11"/>
      <c r="M29" s="11"/>
      <c r="N29" s="11"/>
      <c r="O29" s="11"/>
      <c r="P29" s="11"/>
      <c r="Q29" s="11"/>
      <c r="R29" s="11"/>
      <c r="S29" s="11"/>
      <c r="T29" s="11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</row>
  </sheetData>
  <mergeCells count="23">
    <mergeCell ref="I2:I3"/>
    <mergeCell ref="F2:F3"/>
    <mergeCell ref="G2:G3"/>
    <mergeCell ref="J2:J3"/>
    <mergeCell ref="K2:K3"/>
    <mergeCell ref="A2:A3"/>
    <mergeCell ref="B2:B3"/>
    <mergeCell ref="D2:D3"/>
    <mergeCell ref="E2:E3"/>
    <mergeCell ref="H2:H3"/>
    <mergeCell ref="C2:C3"/>
    <mergeCell ref="AP2:AR2"/>
    <mergeCell ref="AM2:AO2"/>
    <mergeCell ref="X2:Z2"/>
    <mergeCell ref="AS2:AU2"/>
    <mergeCell ref="AD2:AF2"/>
    <mergeCell ref="L2:N2"/>
    <mergeCell ref="O2:Q2"/>
    <mergeCell ref="U2:W2"/>
    <mergeCell ref="AA2:AC2"/>
    <mergeCell ref="AJ2:AL2"/>
    <mergeCell ref="AG2:AI2"/>
    <mergeCell ref="R2:T2"/>
  </mergeCells>
  <phoneticPr fontId="1" type="noConversion"/>
  <conditionalFormatting sqref="D29 F6 F10 F22 D15 D16:F20 F15 F29 G5:G29">
    <cfRule type="expression" dxfId="347" priority="3821">
      <formula>AND(NOT(ISBLANK($B5)), ISBLANK(D5))</formula>
    </cfRule>
  </conditionalFormatting>
  <conditionalFormatting sqref="Y4:Y11 AB4:AB11 V5:V11 V16 P25 M29 S15:S16 P4 S8:S9 S18:S19 P9 S21:S22 AE4:AE29 AH4:AH29 AK4:AK29 AN4:AN29 AQ4:AQ29 AT4:AT29 S24:S29 P29 V18:V29 AB15:AB29 Y15:Y29">
    <cfRule type="expression" dxfId="346" priority="3816">
      <formula>AND(NOT(ISBLANK(L4)), ISBLANK(M4))</formula>
    </cfRule>
  </conditionalFormatting>
  <conditionalFormatting sqref="J4:J13 J15:J29">
    <cfRule type="expression" dxfId="345" priority="3828">
      <formula>AND(EXACT($D4,"KM Mileage"), ISBLANK($J4))</formula>
    </cfRule>
    <cfRule type="expression" dxfId="344" priority="3829">
      <formula>AND(EXACT($D4,"KM Mileage"), NOT(ISBLANK($J4)))</formula>
    </cfRule>
  </conditionalFormatting>
  <conditionalFormatting sqref="K4:K13 K15:K29">
    <cfRule type="expression" dxfId="343" priority="3832">
      <formula>AND(EXACT($D4,"Hotel Room"), ISBLANK($K4))</formula>
    </cfRule>
    <cfRule type="expression" dxfId="342" priority="3833">
      <formula>AND(EXACT($D4,"Hotel Room"), NOT(ISBLANK($K4)))</formula>
    </cfRule>
  </conditionalFormatting>
  <conditionalFormatting sqref="V4 S4">
    <cfRule type="expression" dxfId="340" priority="3707">
      <formula>AND(NOT(ISBLANK(R4)), ISBLANK(S4))</formula>
    </cfRule>
  </conditionalFormatting>
  <conditionalFormatting sqref="M4">
    <cfRule type="expression" dxfId="339" priority="3618">
      <formula>AND(NOT(ISBLANK(L4)), ISBLANK(M4))</formula>
    </cfRule>
  </conditionalFormatting>
  <conditionalFormatting sqref="P16">
    <cfRule type="expression" dxfId="337" priority="3613">
      <formula>AND(NOT(ISBLANK(O16)), ISBLANK(P16))</formula>
    </cfRule>
  </conditionalFormatting>
  <conditionalFormatting sqref="V15">
    <cfRule type="expression" dxfId="336" priority="3612">
      <formula>AND(NOT(ISBLANK(U15)), ISBLANK(V15))</formula>
    </cfRule>
  </conditionalFormatting>
  <conditionalFormatting sqref="E29">
    <cfRule type="expression" dxfId="335" priority="3472">
      <formula>AND(NOT(ISBLANK($B29)), ISBLANK(E29))</formula>
    </cfRule>
  </conditionalFormatting>
  <conditionalFormatting sqref="E29">
    <cfRule type="expression" dxfId="334" priority="3471">
      <formula>AND(NOT(ISBLANK($B29)), ISBLANK(E29))</formula>
    </cfRule>
  </conditionalFormatting>
  <conditionalFormatting sqref="M21 P21">
    <cfRule type="expression" dxfId="333" priority="3457">
      <formula>AND(NOT(ISBLANK(L21)), ISBLANK(M21))</formula>
    </cfRule>
  </conditionalFormatting>
  <conditionalFormatting sqref="S23 P23">
    <cfRule type="expression" dxfId="332" priority="3455">
      <formula>AND(NOT(ISBLANK(O23)), ISBLANK(P23))</formula>
    </cfRule>
  </conditionalFormatting>
  <conditionalFormatting sqref="P28">
    <cfRule type="expression" dxfId="331" priority="3454">
      <formula>AND(NOT(ISBLANK(O28)), ISBLANK(P28))</formula>
    </cfRule>
  </conditionalFormatting>
  <conditionalFormatting sqref="P13">
    <cfRule type="expression" dxfId="330" priority="3436">
      <formula>AND(NOT(ISBLANK(O13)), ISBLANK(P13))</formula>
    </cfRule>
  </conditionalFormatting>
  <conditionalFormatting sqref="V17">
    <cfRule type="expression" dxfId="329" priority="3423">
      <formula>AND(NOT(ISBLANK(U17)), ISBLANK(V17))</formula>
    </cfRule>
  </conditionalFormatting>
  <conditionalFormatting sqref="F6">
    <cfRule type="expression" dxfId="327" priority="3242">
      <formula>AND(NOT(ISBLANK($B6)), ISBLANK(F6))</formula>
    </cfRule>
  </conditionalFormatting>
  <conditionalFormatting sqref="F8">
    <cfRule type="expression" dxfId="326" priority="2682">
      <formula>AND(NOT(ISBLANK($B8)), ISBLANK(F8))</formula>
    </cfRule>
  </conditionalFormatting>
  <conditionalFormatting sqref="F8">
    <cfRule type="expression" dxfId="325" priority="2650">
      <formula>AND(NOT(ISBLANK($B8)), ISBLANK(F8))</formula>
    </cfRule>
  </conditionalFormatting>
  <conditionalFormatting sqref="F9">
    <cfRule type="expression" dxfId="324" priority="2621">
      <formula>AND(NOT(ISBLANK($B9)), ISBLANK(F9))</formula>
    </cfRule>
  </conditionalFormatting>
  <conditionalFormatting sqref="S9">
    <cfRule type="expression" dxfId="322" priority="2350">
      <formula>AND(NOT(ISBLANK(R9)), ISBLANK(S9))</formula>
    </cfRule>
  </conditionalFormatting>
  <conditionalFormatting sqref="P9">
    <cfRule type="expression" dxfId="321" priority="2349">
      <formula>AND(NOT(ISBLANK(O9)), ISBLANK(P9))</formula>
    </cfRule>
  </conditionalFormatting>
  <conditionalFormatting sqref="F7">
    <cfRule type="expression" dxfId="320" priority="2105">
      <formula>AND(NOT(ISBLANK($B7)), ISBLANK(F7))</formula>
    </cfRule>
  </conditionalFormatting>
  <conditionalFormatting sqref="F7">
    <cfRule type="expression" dxfId="319" priority="2104">
      <formula>AND(NOT(ISBLANK($B7)), ISBLANK(F7))</formula>
    </cfRule>
  </conditionalFormatting>
  <conditionalFormatting sqref="P15">
    <cfRule type="expression" dxfId="318" priority="1340">
      <formula>AND(NOT(ISBLANK(O15)), ISBLANK(P15))</formula>
    </cfRule>
  </conditionalFormatting>
  <conditionalFormatting sqref="F12">
    <cfRule type="expression" dxfId="317" priority="1037">
      <formula>AND(NOT(ISBLANK($B12)), ISBLANK(F12))</formula>
    </cfRule>
  </conditionalFormatting>
  <conditionalFormatting sqref="M18 P18">
    <cfRule type="expression" dxfId="316" priority="653">
      <formula>AND(NOT(ISBLANK(L18)), ISBLANK(M18))</formula>
    </cfRule>
  </conditionalFormatting>
  <conditionalFormatting sqref="M18 P18">
    <cfRule type="expression" dxfId="315" priority="652">
      <formula>AND(NOT(ISBLANK(L18)), ISBLANK(M18))</formula>
    </cfRule>
  </conditionalFormatting>
  <conditionalFormatting sqref="S17">
    <cfRule type="expression" dxfId="314" priority="651">
      <formula>AND(NOT(ISBLANK(R17)), ISBLANK(S17))</formula>
    </cfRule>
  </conditionalFormatting>
  <conditionalFormatting sqref="S17">
    <cfRule type="expression" dxfId="313" priority="650">
      <formula>AND(NOT(ISBLANK(R17)), ISBLANK(S17))</formula>
    </cfRule>
  </conditionalFormatting>
  <conditionalFormatting sqref="F4">
    <cfRule type="expression" dxfId="309" priority="645">
      <formula>AND(NOT(ISBLANK($B4)), ISBLANK(F4))</formula>
    </cfRule>
  </conditionalFormatting>
  <conditionalFormatting sqref="G4:I4 H5:I29">
    <cfRule type="expression" dxfId="308" priority="640">
      <formula>AND(NOT(ISBLANK($B4)), ISBLANK(G4))</formula>
    </cfRule>
  </conditionalFormatting>
  <conditionalFormatting sqref="G4:I4 H5:I29">
    <cfRule type="expression" dxfId="307" priority="639">
      <formula>AND(NOT(ISBLANK($B4)), ISBLANK(G4))</formula>
    </cfRule>
  </conditionalFormatting>
  <conditionalFormatting sqref="G4:I4 H5:I29">
    <cfRule type="expression" dxfId="306" priority="638">
      <formula>AND(NOT(ISBLANK($B4)), ISBLANK(G4))</formula>
    </cfRule>
  </conditionalFormatting>
  <conditionalFormatting sqref="G4:I4 H5:I29">
    <cfRule type="expression" dxfId="305" priority="637">
      <formula>AND(NOT(ISBLANK($B4)), ISBLANK(G4))</formula>
    </cfRule>
  </conditionalFormatting>
  <conditionalFormatting sqref="F5">
    <cfRule type="expression" dxfId="304" priority="636">
      <formula>AND(NOT(ISBLANK($B5)), ISBLANK(F5))</formula>
    </cfRule>
  </conditionalFormatting>
  <conditionalFormatting sqref="S13">
    <cfRule type="expression" dxfId="302" priority="626">
      <formula>AND(NOT(ISBLANK(R13)), ISBLANK(S13))</formula>
    </cfRule>
  </conditionalFormatting>
  <conditionalFormatting sqref="V13">
    <cfRule type="expression" dxfId="301" priority="625">
      <formula>AND(NOT(ISBLANK(U13)), ISBLANK(V13))</formula>
    </cfRule>
  </conditionalFormatting>
  <conditionalFormatting sqref="S12 V12">
    <cfRule type="expression" dxfId="300" priority="624">
      <formula>AND(NOT(ISBLANK(R12)), ISBLANK(S12))</formula>
    </cfRule>
  </conditionalFormatting>
  <conditionalFormatting sqref="S12 V12">
    <cfRule type="expression" dxfId="299" priority="623">
      <formula>AND(NOT(ISBLANK(R12)), ISBLANK(S12))</formula>
    </cfRule>
  </conditionalFormatting>
  <conditionalFormatting sqref="V14">
    <cfRule type="expression" dxfId="298" priority="622">
      <formula>AND(NOT(ISBLANK(U14)), ISBLANK(V14))</formula>
    </cfRule>
  </conditionalFormatting>
  <conditionalFormatting sqref="S14">
    <cfRule type="expression" dxfId="297" priority="621">
      <formula>AND(NOT(ISBLANK(R14)), ISBLANK(S14))</formula>
    </cfRule>
  </conditionalFormatting>
  <conditionalFormatting sqref="Y13">
    <cfRule type="expression" dxfId="296" priority="620">
      <formula>AND(NOT(ISBLANK(X13)), ISBLANK(Y13))</formula>
    </cfRule>
  </conditionalFormatting>
  <conditionalFormatting sqref="AB13">
    <cfRule type="expression" dxfId="295" priority="619">
      <formula>AND(NOT(ISBLANK(AA13)), ISBLANK(AB13))</formula>
    </cfRule>
  </conditionalFormatting>
  <conditionalFormatting sqref="Y12 AB12">
    <cfRule type="expression" dxfId="294" priority="618">
      <formula>AND(NOT(ISBLANK(X12)), ISBLANK(Y12))</formula>
    </cfRule>
  </conditionalFormatting>
  <conditionalFormatting sqref="Y12 AB12">
    <cfRule type="expression" dxfId="293" priority="617">
      <formula>AND(NOT(ISBLANK(X12)), ISBLANK(Y12))</formula>
    </cfRule>
  </conditionalFormatting>
  <conditionalFormatting sqref="AB14">
    <cfRule type="expression" dxfId="292" priority="616">
      <formula>AND(NOT(ISBLANK(AA14)), ISBLANK(AB14))</formula>
    </cfRule>
  </conditionalFormatting>
  <conditionalFormatting sqref="Y14">
    <cfRule type="expression" dxfId="291" priority="615">
      <formula>AND(NOT(ISBLANK(X14)), ISBLANK(Y14))</formula>
    </cfRule>
  </conditionalFormatting>
  <conditionalFormatting sqref="F11">
    <cfRule type="expression" dxfId="290" priority="572">
      <formula>AND(NOT(ISBLANK($B11)), ISBLANK(F11))</formula>
    </cfRule>
  </conditionalFormatting>
  <conditionalFormatting sqref="F13">
    <cfRule type="expression" dxfId="288" priority="566">
      <formula>AND(NOT(ISBLANK($B13)), ISBLANK(F13))</formula>
    </cfRule>
  </conditionalFormatting>
  <conditionalFormatting sqref="F19">
    <cfRule type="expression" dxfId="287" priority="539">
      <formula>AND(NOT(ISBLANK($B19)), ISBLANK(F19))</formula>
    </cfRule>
  </conditionalFormatting>
  <conditionalFormatting sqref="F20">
    <cfRule type="expression" dxfId="285" priority="533">
      <formula>AND(NOT(ISBLANK($B20)), ISBLANK(F20))</formula>
    </cfRule>
  </conditionalFormatting>
  <conditionalFormatting sqref="S7">
    <cfRule type="expression" dxfId="284" priority="521">
      <formula>AND(NOT(ISBLANK(R7)), ISBLANK(S7))</formula>
    </cfRule>
  </conditionalFormatting>
  <conditionalFormatting sqref="S7">
    <cfRule type="expression" dxfId="283" priority="520">
      <formula>AND(NOT(ISBLANK(R7)), ISBLANK(S7))</formula>
    </cfRule>
  </conditionalFormatting>
  <conditionalFormatting sqref="P17">
    <cfRule type="expression" dxfId="282" priority="511">
      <formula>AND(NOT(ISBLANK(O17)), ISBLANK(P17))</formula>
    </cfRule>
  </conditionalFormatting>
  <conditionalFormatting sqref="D12">
    <cfRule type="expression" dxfId="281" priority="491">
      <formula>AND(NOT(ISBLANK($B12)), ISBLANK(D12))</formula>
    </cfRule>
  </conditionalFormatting>
  <conditionalFormatting sqref="D12">
    <cfRule type="expression" dxfId="280" priority="492">
      <formula>AND(NOT(ISBLANK($B12)), ISBLANK(D12))</formula>
    </cfRule>
  </conditionalFormatting>
  <conditionalFormatting sqref="F21">
    <cfRule type="expression" dxfId="279" priority="470">
      <formula>AND(NOT(ISBLANK($B21)), ISBLANK(F21))</formula>
    </cfRule>
  </conditionalFormatting>
  <conditionalFormatting sqref="D21">
    <cfRule type="expression" dxfId="278" priority="468">
      <formula>AND(NOT(ISBLANK($B21)), ISBLANK(D21))</formula>
    </cfRule>
  </conditionalFormatting>
  <conditionalFormatting sqref="D21">
    <cfRule type="expression" dxfId="277" priority="469">
      <formula>AND(NOT(ISBLANK($B21)), ISBLANK(D21))</formula>
    </cfRule>
  </conditionalFormatting>
  <conditionalFormatting sqref="E22">
    <cfRule type="expression" dxfId="276" priority="465">
      <formula>AND(NOT(ISBLANK($B22)), ISBLANK(E22))</formula>
    </cfRule>
  </conditionalFormatting>
  <conditionalFormatting sqref="E22">
    <cfRule type="expression" dxfId="275" priority="464">
      <formula>AND(NOT(ISBLANK($B22)), ISBLANK(E22))</formula>
    </cfRule>
  </conditionalFormatting>
  <conditionalFormatting sqref="D22">
    <cfRule type="expression" dxfId="274" priority="462">
      <formula>AND(NOT(ISBLANK($B22)), ISBLANK(D22))</formula>
    </cfRule>
  </conditionalFormatting>
  <conditionalFormatting sqref="D22">
    <cfRule type="expression" dxfId="273" priority="463">
      <formula>AND(NOT(ISBLANK($B22)), ISBLANK(D22))</formula>
    </cfRule>
  </conditionalFormatting>
  <conditionalFormatting sqref="F23">
    <cfRule type="expression" dxfId="272" priority="461">
      <formula>AND(NOT(ISBLANK($B23)), ISBLANK(F23))</formula>
    </cfRule>
  </conditionalFormatting>
  <conditionalFormatting sqref="F24">
    <cfRule type="expression" dxfId="271" priority="456">
      <formula>AND(NOT(ISBLANK($B24)), ISBLANK(F24))</formula>
    </cfRule>
  </conditionalFormatting>
  <conditionalFormatting sqref="F25">
    <cfRule type="expression" dxfId="270" priority="451">
      <formula>AND(NOT(ISBLANK($B25)), ISBLANK(F25))</formula>
    </cfRule>
  </conditionalFormatting>
  <conditionalFormatting sqref="D25">
    <cfRule type="expression" dxfId="269" priority="449">
      <formula>AND(NOT(ISBLANK($B25)), ISBLANK(D25))</formula>
    </cfRule>
  </conditionalFormatting>
  <conditionalFormatting sqref="D25">
    <cfRule type="expression" dxfId="268" priority="450">
      <formula>AND(NOT(ISBLANK($B25)), ISBLANK(D25))</formula>
    </cfRule>
  </conditionalFormatting>
  <conditionalFormatting sqref="E25">
    <cfRule type="expression" dxfId="267" priority="448">
      <formula>AND(NOT(ISBLANK($B25)), ISBLANK(E25))</formula>
    </cfRule>
  </conditionalFormatting>
  <conditionalFormatting sqref="E25">
    <cfRule type="expression" dxfId="266" priority="447">
      <formula>AND(NOT(ISBLANK($B25)), ISBLANK(E25))</formula>
    </cfRule>
  </conditionalFormatting>
  <conditionalFormatting sqref="F26">
    <cfRule type="expression" dxfId="265" priority="446">
      <formula>AND(NOT(ISBLANK($B26)), ISBLANK(F26))</formula>
    </cfRule>
  </conditionalFormatting>
  <conditionalFormatting sqref="F27">
    <cfRule type="expression" dxfId="264" priority="441">
      <formula>AND(NOT(ISBLANK($B27)), ISBLANK(F27))</formula>
    </cfRule>
  </conditionalFormatting>
  <conditionalFormatting sqref="E27">
    <cfRule type="expression" dxfId="263" priority="438">
      <formula>AND(NOT(ISBLANK($B27)), ISBLANK(E27))</formula>
    </cfRule>
  </conditionalFormatting>
  <conditionalFormatting sqref="E27">
    <cfRule type="expression" dxfId="262" priority="437">
      <formula>AND(NOT(ISBLANK($B27)), ISBLANK(E27))</formula>
    </cfRule>
  </conditionalFormatting>
  <conditionalFormatting sqref="F28">
    <cfRule type="expression" dxfId="261" priority="436">
      <formula>AND(NOT(ISBLANK($B28)), ISBLANK(F28))</formula>
    </cfRule>
  </conditionalFormatting>
  <conditionalFormatting sqref="D28">
    <cfRule type="expression" dxfId="260" priority="434">
      <formula>AND(NOT(ISBLANK($B28)), ISBLANK(D28))</formula>
    </cfRule>
  </conditionalFormatting>
  <conditionalFormatting sqref="D28">
    <cfRule type="expression" dxfId="259" priority="435">
      <formula>AND(NOT(ISBLANK($B28)), ISBLANK(D28))</formula>
    </cfRule>
  </conditionalFormatting>
  <conditionalFormatting sqref="E28">
    <cfRule type="expression" dxfId="258" priority="433">
      <formula>AND(NOT(ISBLANK($B28)), ISBLANK(E28))</formula>
    </cfRule>
  </conditionalFormatting>
  <conditionalFormatting sqref="E28">
    <cfRule type="expression" dxfId="257" priority="432">
      <formula>AND(NOT(ISBLANK($B28)), ISBLANK(E28))</formula>
    </cfRule>
  </conditionalFormatting>
  <conditionalFormatting sqref="M8">
    <cfRule type="expression" dxfId="256" priority="419">
      <formula>AND(NOT(ISBLANK(L8)), ISBLANK(M8))</formula>
    </cfRule>
  </conditionalFormatting>
  <conditionalFormatting sqref="M8">
    <cfRule type="expression" dxfId="255" priority="418">
      <formula>AND(NOT(ISBLANK(L8)), ISBLANK(M8))</formula>
    </cfRule>
  </conditionalFormatting>
  <conditionalFormatting sqref="P8">
    <cfRule type="expression" dxfId="254" priority="417">
      <formula>AND(NOT(ISBLANK(O8)), ISBLANK(P8))</formula>
    </cfRule>
  </conditionalFormatting>
  <conditionalFormatting sqref="P8">
    <cfRule type="expression" dxfId="253" priority="416">
      <formula>AND(NOT(ISBLANK(O8)), ISBLANK(P8))</formula>
    </cfRule>
  </conditionalFormatting>
  <conditionalFormatting sqref="P19">
    <cfRule type="expression" dxfId="250" priority="409">
      <formula>AND(NOT(ISBLANK(O19)), ISBLANK(P19))</formula>
    </cfRule>
  </conditionalFormatting>
  <conditionalFormatting sqref="P19">
    <cfRule type="expression" dxfId="249" priority="408">
      <formula>AND(NOT(ISBLANK(O19)), ISBLANK(P19))</formula>
    </cfRule>
  </conditionalFormatting>
  <conditionalFormatting sqref="M22">
    <cfRule type="expression" dxfId="248" priority="403">
      <formula>AND(NOT(ISBLANK(L22)), ISBLANK(M22))</formula>
    </cfRule>
  </conditionalFormatting>
  <conditionalFormatting sqref="M22">
    <cfRule type="expression" dxfId="247" priority="402">
      <formula>AND(NOT(ISBLANK(L22)), ISBLANK(M22))</formula>
    </cfRule>
  </conditionalFormatting>
  <conditionalFormatting sqref="P22">
    <cfRule type="expression" dxfId="246" priority="401">
      <formula>AND(NOT(ISBLANK(O22)), ISBLANK(P22))</formula>
    </cfRule>
  </conditionalFormatting>
  <conditionalFormatting sqref="P22">
    <cfRule type="expression" dxfId="245" priority="400">
      <formula>AND(NOT(ISBLANK(O22)), ISBLANK(P22))</formula>
    </cfRule>
  </conditionalFormatting>
  <conditionalFormatting sqref="P26">
    <cfRule type="expression" dxfId="242" priority="397">
      <formula>AND(NOT(ISBLANK(O26)), ISBLANK(P26))</formula>
    </cfRule>
  </conditionalFormatting>
  <conditionalFormatting sqref="P26">
    <cfRule type="expression" dxfId="241" priority="396">
      <formula>AND(NOT(ISBLANK(O26)), ISBLANK(P26))</formula>
    </cfRule>
  </conditionalFormatting>
  <conditionalFormatting sqref="M27">
    <cfRule type="expression" dxfId="240" priority="395">
      <formula>AND(NOT(ISBLANK(L27)), ISBLANK(M27))</formula>
    </cfRule>
  </conditionalFormatting>
  <conditionalFormatting sqref="M27">
    <cfRule type="expression" dxfId="239" priority="394">
      <formula>AND(NOT(ISBLANK(L27)), ISBLANK(M27))</formula>
    </cfRule>
  </conditionalFormatting>
  <conditionalFormatting sqref="P27">
    <cfRule type="expression" dxfId="238" priority="393">
      <formula>AND(NOT(ISBLANK(O27)), ISBLANK(P27))</formula>
    </cfRule>
  </conditionalFormatting>
  <conditionalFormatting sqref="P27">
    <cfRule type="expression" dxfId="237" priority="392">
      <formula>AND(NOT(ISBLANK(O27)), ISBLANK(P27))</formula>
    </cfRule>
  </conditionalFormatting>
  <conditionalFormatting sqref="M5">
    <cfRule type="expression" dxfId="236" priority="387">
      <formula>AND(NOT(ISBLANK(L5)), ISBLANK(M5))</formula>
    </cfRule>
  </conditionalFormatting>
  <conditionalFormatting sqref="M5">
    <cfRule type="expression" dxfId="235" priority="386">
      <formula>AND(NOT(ISBLANK(L5)), ISBLANK(M5))</formula>
    </cfRule>
  </conditionalFormatting>
  <conditionalFormatting sqref="P5">
    <cfRule type="expression" dxfId="234" priority="385">
      <formula>AND(NOT(ISBLANK(O5)), ISBLANK(P5))</formula>
    </cfRule>
  </conditionalFormatting>
  <conditionalFormatting sqref="P5">
    <cfRule type="expression" dxfId="233" priority="384">
      <formula>AND(NOT(ISBLANK(O5)), ISBLANK(P5))</formula>
    </cfRule>
  </conditionalFormatting>
  <conditionalFormatting sqref="M6">
    <cfRule type="expression" dxfId="232" priority="377">
      <formula>AND(NOT(ISBLANK(L6)), ISBLANK(M6))</formula>
    </cfRule>
  </conditionalFormatting>
  <conditionalFormatting sqref="M6">
    <cfRule type="expression" dxfId="231" priority="376">
      <formula>AND(NOT(ISBLANK(L6)), ISBLANK(M6))</formula>
    </cfRule>
  </conditionalFormatting>
  <conditionalFormatting sqref="M13">
    <cfRule type="expression" dxfId="230" priority="350">
      <formula>AND(NOT(ISBLANK(L13)), ISBLANK(M13))</formula>
    </cfRule>
  </conditionalFormatting>
  <conditionalFormatting sqref="M13">
    <cfRule type="expression" dxfId="229" priority="349">
      <formula>AND(NOT(ISBLANK(L13)), ISBLANK(M13))</formula>
    </cfRule>
  </conditionalFormatting>
  <conditionalFormatting sqref="M15">
    <cfRule type="expression" dxfId="228" priority="346">
      <formula>AND(NOT(ISBLANK(L15)), ISBLANK(M15))</formula>
    </cfRule>
  </conditionalFormatting>
  <conditionalFormatting sqref="M15">
    <cfRule type="expression" dxfId="227" priority="345">
      <formula>AND(NOT(ISBLANK(L15)), ISBLANK(M15))</formula>
    </cfRule>
  </conditionalFormatting>
  <conditionalFormatting sqref="D19">
    <cfRule type="expression" dxfId="226" priority="331">
      <formula>AND(NOT(ISBLANK($B19)), ISBLANK(D19))</formula>
    </cfRule>
  </conditionalFormatting>
  <conditionalFormatting sqref="D19">
    <cfRule type="expression" dxfId="225" priority="332">
      <formula>AND(NOT(ISBLANK($B19)), ISBLANK(D19))</formula>
    </cfRule>
  </conditionalFormatting>
  <conditionalFormatting sqref="E19">
    <cfRule type="expression" dxfId="224" priority="330">
      <formula>AND(NOT(ISBLANK($B19)), ISBLANK(E19))</formula>
    </cfRule>
  </conditionalFormatting>
  <conditionalFormatting sqref="E19">
    <cfRule type="expression" dxfId="223" priority="329">
      <formula>AND(NOT(ISBLANK($B19)), ISBLANK(E19))</formula>
    </cfRule>
  </conditionalFormatting>
  <conditionalFormatting sqref="S5">
    <cfRule type="expression" dxfId="222" priority="328">
      <formula>AND(NOT(ISBLANK(R5)), ISBLANK(S5))</formula>
    </cfRule>
  </conditionalFormatting>
  <conditionalFormatting sqref="S5">
    <cfRule type="expression" dxfId="221" priority="327">
      <formula>AND(NOT(ISBLANK(R5)), ISBLANK(S5))</formula>
    </cfRule>
  </conditionalFormatting>
  <conditionalFormatting sqref="S6">
    <cfRule type="expression" dxfId="220" priority="326">
      <formula>AND(NOT(ISBLANK(R6)), ISBLANK(S6))</formula>
    </cfRule>
  </conditionalFormatting>
  <conditionalFormatting sqref="S6">
    <cfRule type="expression" dxfId="219" priority="325">
      <formula>AND(NOT(ISBLANK(R6)), ISBLANK(S6))</formula>
    </cfRule>
  </conditionalFormatting>
  <conditionalFormatting sqref="M17">
    <cfRule type="expression" dxfId="218" priority="314">
      <formula>AND(NOT(ISBLANK(L17)), ISBLANK(M17))</formula>
    </cfRule>
  </conditionalFormatting>
  <conditionalFormatting sqref="M17">
    <cfRule type="expression" dxfId="217" priority="313">
      <formula>AND(NOT(ISBLANK(L17)), ISBLANK(M17))</formula>
    </cfRule>
  </conditionalFormatting>
  <conditionalFormatting sqref="D20">
    <cfRule type="expression" dxfId="216" priority="307">
      <formula>AND(NOT(ISBLANK($B20)), ISBLANK(D20))</formula>
    </cfRule>
  </conditionalFormatting>
  <conditionalFormatting sqref="D20">
    <cfRule type="expression" dxfId="215" priority="308">
      <formula>AND(NOT(ISBLANK($B20)), ISBLANK(D20))</formula>
    </cfRule>
  </conditionalFormatting>
  <conditionalFormatting sqref="S20">
    <cfRule type="expression" dxfId="214" priority="304">
      <formula>AND(NOT(ISBLANK(R20)), ISBLANK(S20))</formula>
    </cfRule>
  </conditionalFormatting>
  <conditionalFormatting sqref="M20">
    <cfRule type="expression" dxfId="213" priority="303">
      <formula>AND(NOT(ISBLANK(L20)), ISBLANK(M20))</formula>
    </cfRule>
  </conditionalFormatting>
  <conditionalFormatting sqref="M20">
    <cfRule type="expression" dxfId="212" priority="302">
      <formula>AND(NOT(ISBLANK(L20)), ISBLANK(M20))</formula>
    </cfRule>
  </conditionalFormatting>
  <conditionalFormatting sqref="P20">
    <cfRule type="expression" dxfId="211" priority="301">
      <formula>AND(NOT(ISBLANK(O20)), ISBLANK(P20))</formula>
    </cfRule>
  </conditionalFormatting>
  <conditionalFormatting sqref="P20">
    <cfRule type="expression" dxfId="210" priority="300">
      <formula>AND(NOT(ISBLANK(O20)), ISBLANK(P20))</formula>
    </cfRule>
  </conditionalFormatting>
  <conditionalFormatting sqref="D23">
    <cfRule type="expression" dxfId="209" priority="298">
      <formula>AND(NOT(ISBLANK($B23)), ISBLANK(D23))</formula>
    </cfRule>
  </conditionalFormatting>
  <conditionalFormatting sqref="D23">
    <cfRule type="expression" dxfId="208" priority="299">
      <formula>AND(NOT(ISBLANK($B23)), ISBLANK(D23))</formula>
    </cfRule>
  </conditionalFormatting>
  <conditionalFormatting sqref="E23">
    <cfRule type="expression" dxfId="207" priority="297">
      <formula>AND(NOT(ISBLANK($B23)), ISBLANK(E23))</formula>
    </cfRule>
  </conditionalFormatting>
  <conditionalFormatting sqref="E23">
    <cfRule type="expression" dxfId="206" priority="296">
      <formula>AND(NOT(ISBLANK($B23)), ISBLANK(E23))</formula>
    </cfRule>
  </conditionalFormatting>
  <conditionalFormatting sqref="M23:M24">
    <cfRule type="expression" dxfId="205" priority="293">
      <formula>AND(NOT(ISBLANK(L23)), ISBLANK(M23))</formula>
    </cfRule>
  </conditionalFormatting>
  <conditionalFormatting sqref="D24">
    <cfRule type="expression" dxfId="204" priority="291">
      <formula>AND(NOT(ISBLANK($B24)), ISBLANK(D24))</formula>
    </cfRule>
  </conditionalFormatting>
  <conditionalFormatting sqref="D24">
    <cfRule type="expression" dxfId="203" priority="292">
      <formula>AND(NOT(ISBLANK($B24)), ISBLANK(D24))</formula>
    </cfRule>
  </conditionalFormatting>
  <conditionalFormatting sqref="E24">
    <cfRule type="expression" dxfId="202" priority="290">
      <formula>AND(NOT(ISBLANK($B24)), ISBLANK(E24))</formula>
    </cfRule>
  </conditionalFormatting>
  <conditionalFormatting sqref="E24">
    <cfRule type="expression" dxfId="201" priority="289">
      <formula>AND(NOT(ISBLANK($B24)), ISBLANK(E24))</formula>
    </cfRule>
  </conditionalFormatting>
  <conditionalFormatting sqref="D26">
    <cfRule type="expression" dxfId="200" priority="287">
      <formula>AND(NOT(ISBLANK($B26)), ISBLANK(D26))</formula>
    </cfRule>
  </conditionalFormatting>
  <conditionalFormatting sqref="D26">
    <cfRule type="expression" dxfId="199" priority="288">
      <formula>AND(NOT(ISBLANK($B26)), ISBLANK(D26))</formula>
    </cfRule>
  </conditionalFormatting>
  <conditionalFormatting sqref="E26">
    <cfRule type="expression" dxfId="198" priority="286">
      <formula>AND(NOT(ISBLANK($B26)), ISBLANK(E26))</formula>
    </cfRule>
  </conditionalFormatting>
  <conditionalFormatting sqref="E26">
    <cfRule type="expression" dxfId="197" priority="285">
      <formula>AND(NOT(ISBLANK($B26)), ISBLANK(E26))</formula>
    </cfRule>
  </conditionalFormatting>
  <conditionalFormatting sqref="D27">
    <cfRule type="expression" dxfId="196" priority="283">
      <formula>AND(NOT(ISBLANK($B27)), ISBLANK(D27))</formula>
    </cfRule>
  </conditionalFormatting>
  <conditionalFormatting sqref="D27">
    <cfRule type="expression" dxfId="195" priority="284">
      <formula>AND(NOT(ISBLANK($B27)), ISBLANK(D27))</formula>
    </cfRule>
  </conditionalFormatting>
  <conditionalFormatting sqref="D5">
    <cfRule type="expression" dxfId="193" priority="267">
      <formula>AND(NOT(ISBLANK($B5)), ISBLANK(D5))</formula>
    </cfRule>
  </conditionalFormatting>
  <conditionalFormatting sqref="D5">
    <cfRule type="expression" dxfId="192" priority="268">
      <formula>AND(NOT(ISBLANK($B5)), ISBLANK(D5))</formula>
    </cfRule>
  </conditionalFormatting>
  <conditionalFormatting sqref="E5">
    <cfRule type="expression" dxfId="191" priority="266">
      <formula>AND(NOT(ISBLANK($B5)), ISBLANK(E5))</formula>
    </cfRule>
  </conditionalFormatting>
  <conditionalFormatting sqref="E5">
    <cfRule type="expression" dxfId="190" priority="265">
      <formula>AND(NOT(ISBLANK($B5)), ISBLANK(E5))</formula>
    </cfRule>
  </conditionalFormatting>
  <conditionalFormatting sqref="E7">
    <cfRule type="expression" dxfId="189" priority="200">
      <formula>AND(NOT(ISBLANK($B7)), ISBLANK(E7))</formula>
    </cfRule>
  </conditionalFormatting>
  <conditionalFormatting sqref="E10">
    <cfRule type="expression" dxfId="188" priority="201">
      <formula>AND(NOT(ISBLANK($B10)), ISBLANK(E10))</formula>
    </cfRule>
  </conditionalFormatting>
  <conditionalFormatting sqref="P7">
    <cfRule type="expression" dxfId="187" priority="257">
      <formula>AND(NOT(ISBLANK(O7)), ISBLANK(P7))</formula>
    </cfRule>
  </conditionalFormatting>
  <conditionalFormatting sqref="D8">
    <cfRule type="expression" dxfId="186" priority="255">
      <formula>AND(NOT(ISBLANK($B8)), ISBLANK(D8))</formula>
    </cfRule>
  </conditionalFormatting>
  <conditionalFormatting sqref="D8">
    <cfRule type="expression" dxfId="185" priority="256">
      <formula>AND(NOT(ISBLANK($B8)), ISBLANK(D8))</formula>
    </cfRule>
  </conditionalFormatting>
  <conditionalFormatting sqref="E9">
    <cfRule type="expression" dxfId="184" priority="206">
      <formula>AND(NOT(ISBLANK($B9)), ISBLANK(E9))</formula>
    </cfRule>
  </conditionalFormatting>
  <conditionalFormatting sqref="M10:M12">
    <cfRule type="expression" dxfId="183" priority="244">
      <formula>AND(NOT(ISBLANK(L10)), ISBLANK(M10))</formula>
    </cfRule>
  </conditionalFormatting>
  <conditionalFormatting sqref="M10:M12">
    <cfRule type="expression" dxfId="182" priority="243">
      <formula>AND(NOT(ISBLANK(L10)), ISBLANK(M10))</formula>
    </cfRule>
  </conditionalFormatting>
  <conditionalFormatting sqref="D11">
    <cfRule type="expression" dxfId="181" priority="239">
      <formula>AND(NOT(ISBLANK($B11)), ISBLANK(D11))</formula>
    </cfRule>
  </conditionalFormatting>
  <conditionalFormatting sqref="D11">
    <cfRule type="expression" dxfId="180" priority="240">
      <formula>AND(NOT(ISBLANK($B11)), ISBLANK(D11))</formula>
    </cfRule>
  </conditionalFormatting>
  <conditionalFormatting sqref="E11">
    <cfRule type="expression" dxfId="179" priority="238">
      <formula>AND(NOT(ISBLANK($B11)), ISBLANK(E11))</formula>
    </cfRule>
  </conditionalFormatting>
  <conditionalFormatting sqref="E11">
    <cfRule type="expression" dxfId="178" priority="237">
      <formula>AND(NOT(ISBLANK($B11)), ISBLANK(E11))</formula>
    </cfRule>
  </conditionalFormatting>
  <conditionalFormatting sqref="E12">
    <cfRule type="expression" dxfId="177" priority="232">
      <formula>AND(NOT(ISBLANK($B12)), ISBLANK(E12))</formula>
    </cfRule>
  </conditionalFormatting>
  <conditionalFormatting sqref="E12">
    <cfRule type="expression" dxfId="176" priority="231">
      <formula>AND(NOT(ISBLANK($B12)), ISBLANK(E12))</formula>
    </cfRule>
  </conditionalFormatting>
  <conditionalFormatting sqref="D13">
    <cfRule type="expression" dxfId="175" priority="229">
      <formula>AND(NOT(ISBLANK($B13)), ISBLANK(D13))</formula>
    </cfRule>
  </conditionalFormatting>
  <conditionalFormatting sqref="D13">
    <cfRule type="expression" dxfId="174" priority="230">
      <formula>AND(NOT(ISBLANK($B13)), ISBLANK(D13))</formula>
    </cfRule>
  </conditionalFormatting>
  <conditionalFormatting sqref="E13">
    <cfRule type="expression" dxfId="173" priority="228">
      <formula>AND(NOT(ISBLANK($B13)), ISBLANK(E13))</formula>
    </cfRule>
  </conditionalFormatting>
  <conditionalFormatting sqref="E13">
    <cfRule type="expression" dxfId="172" priority="227">
      <formula>AND(NOT(ISBLANK($B13)), ISBLANK(E13))</formula>
    </cfRule>
  </conditionalFormatting>
  <conditionalFormatting sqref="S11">
    <cfRule type="expression" dxfId="171" priority="226">
      <formula>AND(NOT(ISBLANK(R11)), ISBLANK(S11))</formula>
    </cfRule>
  </conditionalFormatting>
  <conditionalFormatting sqref="S11">
    <cfRule type="expression" dxfId="170" priority="225">
      <formula>AND(NOT(ISBLANK(R11)), ISBLANK(S11))</formula>
    </cfRule>
  </conditionalFormatting>
  <conditionalFormatting sqref="D4">
    <cfRule type="expression" dxfId="169" priority="223">
      <formula>AND(NOT(ISBLANK($B4)), ISBLANK(D4))</formula>
    </cfRule>
  </conditionalFormatting>
  <conditionalFormatting sqref="D4">
    <cfRule type="expression" dxfId="168" priority="224">
      <formula>AND(NOT(ISBLANK($B4)), ISBLANK(D4))</formula>
    </cfRule>
  </conditionalFormatting>
  <conditionalFormatting sqref="E4">
    <cfRule type="expression" dxfId="167" priority="222">
      <formula>AND(NOT(ISBLANK($B4)), ISBLANK(E4))</formula>
    </cfRule>
  </conditionalFormatting>
  <conditionalFormatting sqref="E4">
    <cfRule type="expression" dxfId="166" priority="221">
      <formula>AND(NOT(ISBLANK($B4)), ISBLANK(E4))</formula>
    </cfRule>
  </conditionalFormatting>
  <conditionalFormatting sqref="D6">
    <cfRule type="expression" dxfId="165" priority="219">
      <formula>AND(NOT(ISBLANK($B6)), ISBLANK(D6))</formula>
    </cfRule>
  </conditionalFormatting>
  <conditionalFormatting sqref="D6">
    <cfRule type="expression" dxfId="164" priority="220">
      <formula>AND(NOT(ISBLANK($B6)), ISBLANK(D6))</formula>
    </cfRule>
  </conditionalFormatting>
  <conditionalFormatting sqref="D7">
    <cfRule type="expression" dxfId="163" priority="217">
      <formula>AND(NOT(ISBLANK($B7)), ISBLANK(D7))</formula>
    </cfRule>
  </conditionalFormatting>
  <conditionalFormatting sqref="D7">
    <cfRule type="expression" dxfId="162" priority="218">
      <formula>AND(NOT(ISBLANK($B7)), ISBLANK(D7))</formula>
    </cfRule>
  </conditionalFormatting>
  <conditionalFormatting sqref="D9">
    <cfRule type="expression" dxfId="161" priority="215">
      <formula>AND(NOT(ISBLANK($B9)), ISBLANK(D9))</formula>
    </cfRule>
  </conditionalFormatting>
  <conditionalFormatting sqref="D9">
    <cfRule type="expression" dxfId="160" priority="216">
      <formula>AND(NOT(ISBLANK($B9)), ISBLANK(D9))</formula>
    </cfRule>
  </conditionalFormatting>
  <conditionalFormatting sqref="D10">
    <cfRule type="expression" dxfId="159" priority="211">
      <formula>AND(NOT(ISBLANK($B10)), ISBLANK(D10))</formula>
    </cfRule>
  </conditionalFormatting>
  <conditionalFormatting sqref="D10">
    <cfRule type="expression" dxfId="158" priority="212">
      <formula>AND(NOT(ISBLANK($B10)), ISBLANK(D10))</formula>
    </cfRule>
  </conditionalFormatting>
  <conditionalFormatting sqref="E9">
    <cfRule type="expression" dxfId="157" priority="205">
      <formula>AND(NOT(ISBLANK($B9)), ISBLANK(E9))</formula>
    </cfRule>
  </conditionalFormatting>
  <conditionalFormatting sqref="E8">
    <cfRule type="expression" dxfId="156" priority="204">
      <formula>AND(NOT(ISBLANK($B8)), ISBLANK(E8))</formula>
    </cfRule>
  </conditionalFormatting>
  <conditionalFormatting sqref="E8">
    <cfRule type="expression" dxfId="155" priority="203">
      <formula>AND(NOT(ISBLANK($B8)), ISBLANK(E8))</formula>
    </cfRule>
  </conditionalFormatting>
  <conditionalFormatting sqref="E10">
    <cfRule type="expression" dxfId="154" priority="202">
      <formula>AND(NOT(ISBLANK($B10)), ISBLANK(E10))</formula>
    </cfRule>
  </conditionalFormatting>
  <conditionalFormatting sqref="E7">
    <cfRule type="expression" dxfId="153" priority="199">
      <formula>AND(NOT(ISBLANK($B7)), ISBLANK(E7))</formula>
    </cfRule>
  </conditionalFormatting>
  <conditionalFormatting sqref="E6">
    <cfRule type="expression" dxfId="152" priority="198">
      <formula>AND(NOT(ISBLANK($B6)), ISBLANK(E6))</formula>
    </cfRule>
  </conditionalFormatting>
  <conditionalFormatting sqref="E6">
    <cfRule type="expression" dxfId="151" priority="197">
      <formula>AND(NOT(ISBLANK($B6)), ISBLANK(E6))</formula>
    </cfRule>
  </conditionalFormatting>
  <conditionalFormatting sqref="M7">
    <cfRule type="expression" dxfId="148" priority="154">
      <formula>AND(NOT(ISBLANK(L7)), ISBLANK(M7))</formula>
    </cfRule>
  </conditionalFormatting>
  <conditionalFormatting sqref="M7">
    <cfRule type="expression" dxfId="147" priority="153">
      <formula>AND(NOT(ISBLANK(L7)), ISBLANK(M7))</formula>
    </cfRule>
  </conditionalFormatting>
  <conditionalFormatting sqref="M7">
    <cfRule type="expression" dxfId="146" priority="152">
      <formula>AND(NOT(ISBLANK(L7)), ISBLANK(M7))</formula>
    </cfRule>
  </conditionalFormatting>
  <conditionalFormatting sqref="P6">
    <cfRule type="expression" dxfId="145" priority="151">
      <formula>AND(NOT(ISBLANK(O6)), ISBLANK(P6))</formula>
    </cfRule>
  </conditionalFormatting>
  <conditionalFormatting sqref="P6">
    <cfRule type="expression" dxfId="144" priority="150">
      <formula>AND(NOT(ISBLANK(O6)), ISBLANK(P6))</formula>
    </cfRule>
  </conditionalFormatting>
  <conditionalFormatting sqref="P6">
    <cfRule type="expression" dxfId="143" priority="149">
      <formula>AND(NOT(ISBLANK(O6)), ISBLANK(P6))</formula>
    </cfRule>
  </conditionalFormatting>
  <conditionalFormatting sqref="P10">
    <cfRule type="expression" dxfId="142" priority="148">
      <formula>AND(NOT(ISBLANK(O10)), ISBLANK(P10))</formula>
    </cfRule>
  </conditionalFormatting>
  <conditionalFormatting sqref="P10">
    <cfRule type="expression" dxfId="141" priority="147">
      <formula>AND(NOT(ISBLANK(O10)), ISBLANK(P10))</formula>
    </cfRule>
  </conditionalFormatting>
  <conditionalFormatting sqref="P10">
    <cfRule type="expression" dxfId="140" priority="146">
      <formula>AND(NOT(ISBLANK(O10)), ISBLANK(P10))</formula>
    </cfRule>
  </conditionalFormatting>
  <conditionalFormatting sqref="S10">
    <cfRule type="expression" dxfId="139" priority="145">
      <formula>AND(NOT(ISBLANK(R10)), ISBLANK(S10))</formula>
    </cfRule>
  </conditionalFormatting>
  <conditionalFormatting sqref="S10">
    <cfRule type="expression" dxfId="138" priority="144">
      <formula>AND(NOT(ISBLANK(R10)), ISBLANK(S10))</formula>
    </cfRule>
  </conditionalFormatting>
  <conditionalFormatting sqref="S10">
    <cfRule type="expression" dxfId="137" priority="143">
      <formula>AND(NOT(ISBLANK(R10)), ISBLANK(S10))</formula>
    </cfRule>
  </conditionalFormatting>
  <conditionalFormatting sqref="P11">
    <cfRule type="expression" dxfId="136" priority="142">
      <formula>AND(NOT(ISBLANK(O11)), ISBLANK(P11))</formula>
    </cfRule>
  </conditionalFormatting>
  <conditionalFormatting sqref="P11">
    <cfRule type="expression" dxfId="135" priority="141">
      <formula>AND(NOT(ISBLANK(O11)), ISBLANK(P11))</formula>
    </cfRule>
  </conditionalFormatting>
  <conditionalFormatting sqref="P11">
    <cfRule type="expression" dxfId="134" priority="140">
      <formula>AND(NOT(ISBLANK(O11)), ISBLANK(P11))</formula>
    </cfRule>
  </conditionalFormatting>
  <conditionalFormatting sqref="J14">
    <cfRule type="expression" dxfId="133" priority="136">
      <formula>AND(EXACT($D14,"KM Mileage"), ISBLANK($J14))</formula>
    </cfRule>
    <cfRule type="expression" dxfId="132" priority="137">
      <formula>AND(EXACT($D14,"KM Mileage"), NOT(ISBLANK($J14)))</formula>
    </cfRule>
  </conditionalFormatting>
  <conditionalFormatting sqref="K14">
    <cfRule type="expression" dxfId="131" priority="138">
      <formula>AND(EXACT($D14,"Hotel Room"), ISBLANK($K14))</formula>
    </cfRule>
    <cfRule type="expression" dxfId="130" priority="139">
      <formula>AND(EXACT($D14,"Hotel Room"), NOT(ISBLANK($K14)))</formula>
    </cfRule>
  </conditionalFormatting>
  <conditionalFormatting sqref="F14">
    <cfRule type="expression" dxfId="129" priority="135">
      <formula>AND(NOT(ISBLANK($B14)), ISBLANK(F14))</formula>
    </cfRule>
  </conditionalFormatting>
  <conditionalFormatting sqref="M14">
    <cfRule type="expression" dxfId="128" priority="133">
      <formula>AND(NOT(ISBLANK(L14)), ISBLANK(M14))</formula>
    </cfRule>
  </conditionalFormatting>
  <conditionalFormatting sqref="M14">
    <cfRule type="expression" dxfId="127" priority="132">
      <formula>AND(NOT(ISBLANK(L14)), ISBLANK(M14))</formula>
    </cfRule>
  </conditionalFormatting>
  <conditionalFormatting sqref="E14">
    <cfRule type="expression" dxfId="126" priority="129">
      <formula>AND(NOT(ISBLANK($B14)), ISBLANK(E14))</formula>
    </cfRule>
  </conditionalFormatting>
  <conditionalFormatting sqref="E14">
    <cfRule type="expression" dxfId="125" priority="128">
      <formula>AND(NOT(ISBLANK($B14)), ISBLANK(E14))</formula>
    </cfRule>
  </conditionalFormatting>
  <conditionalFormatting sqref="M17">
    <cfRule type="expression" dxfId="124" priority="127">
      <formula>AND(NOT(ISBLANK(L17)), ISBLANK(M17))</formula>
    </cfRule>
  </conditionalFormatting>
  <conditionalFormatting sqref="M18">
    <cfRule type="expression" dxfId="119" priority="122">
      <formula>AND(NOT(ISBLANK(L18)), ISBLANK(M18))</formula>
    </cfRule>
  </conditionalFormatting>
  <conditionalFormatting sqref="M18">
    <cfRule type="expression" dxfId="118" priority="121">
      <formula>AND(NOT(ISBLANK(L18)), ISBLANK(M18))</formula>
    </cfRule>
  </conditionalFormatting>
  <conditionalFormatting sqref="D14">
    <cfRule type="expression" dxfId="117" priority="120">
      <formula>AND(NOT(ISBLANK($B14)), ISBLANK(D14))</formula>
    </cfRule>
  </conditionalFormatting>
  <conditionalFormatting sqref="D16">
    <cfRule type="expression" dxfId="115" priority="117">
      <formula>AND(NOT(ISBLANK($B16)), ISBLANK(D16))</formula>
    </cfRule>
  </conditionalFormatting>
  <conditionalFormatting sqref="D16">
    <cfRule type="expression" dxfId="114" priority="118">
      <formula>AND(NOT(ISBLANK($B16)), ISBLANK(D16))</formula>
    </cfRule>
  </conditionalFormatting>
  <conditionalFormatting sqref="M15">
    <cfRule type="expression" dxfId="113" priority="114">
      <formula>AND(NOT(ISBLANK(L15)), ISBLANK(M15))</formula>
    </cfRule>
  </conditionalFormatting>
  <conditionalFormatting sqref="M17">
    <cfRule type="expression" dxfId="112" priority="113">
      <formula>AND(NOT(ISBLANK(L17)), ISBLANK(M17))</formula>
    </cfRule>
  </conditionalFormatting>
  <conditionalFormatting sqref="M17">
    <cfRule type="expression" dxfId="111" priority="112">
      <formula>AND(NOT(ISBLANK(L17)), ISBLANK(M17))</formula>
    </cfRule>
  </conditionalFormatting>
  <conditionalFormatting sqref="F18">
    <cfRule type="expression" dxfId="110" priority="111">
      <formula>AND(NOT(ISBLANK($B18)), ISBLANK(F18))</formula>
    </cfRule>
  </conditionalFormatting>
  <conditionalFormatting sqref="M18">
    <cfRule type="expression" dxfId="108" priority="109">
      <formula>AND(NOT(ISBLANK(L18)), ISBLANK(M18))</formula>
    </cfRule>
  </conditionalFormatting>
  <conditionalFormatting sqref="M18">
    <cfRule type="expression" dxfId="107" priority="108">
      <formula>AND(NOT(ISBLANK(L18)), ISBLANK(M18))</formula>
    </cfRule>
  </conditionalFormatting>
  <conditionalFormatting sqref="D18">
    <cfRule type="expression" dxfId="106" priority="106">
      <formula>AND(NOT(ISBLANK($B18)), ISBLANK(D18))</formula>
    </cfRule>
  </conditionalFormatting>
  <conditionalFormatting sqref="D18">
    <cfRule type="expression" dxfId="105" priority="107">
      <formula>AND(NOT(ISBLANK($B18)), ISBLANK(D18))</formula>
    </cfRule>
  </conditionalFormatting>
  <conditionalFormatting sqref="E18">
    <cfRule type="expression" dxfId="104" priority="105">
      <formula>AND(NOT(ISBLANK($B18)), ISBLANK(E18))</formula>
    </cfRule>
  </conditionalFormatting>
  <conditionalFormatting sqref="E18">
    <cfRule type="expression" dxfId="103" priority="104">
      <formula>AND(NOT(ISBLANK($B18)), ISBLANK(E18))</formula>
    </cfRule>
  </conditionalFormatting>
  <conditionalFormatting sqref="M18">
    <cfRule type="expression" dxfId="99" priority="100">
      <formula>AND(NOT(ISBLANK(L18)), ISBLANK(M18))</formula>
    </cfRule>
  </conditionalFormatting>
  <conditionalFormatting sqref="M18">
    <cfRule type="expression" dxfId="98" priority="99">
      <formula>AND(NOT(ISBLANK(L18)), ISBLANK(M18))</formula>
    </cfRule>
  </conditionalFormatting>
  <conditionalFormatting sqref="M15">
    <cfRule type="expression" dxfId="97" priority="98">
      <formula>AND(NOT(ISBLANK(L15)), ISBLANK(M15))</formula>
    </cfRule>
  </conditionalFormatting>
  <conditionalFormatting sqref="M15">
    <cfRule type="expression" dxfId="96" priority="97">
      <formula>AND(NOT(ISBLANK(L15)), ISBLANK(M15))</formula>
    </cfRule>
  </conditionalFormatting>
  <conditionalFormatting sqref="M17">
    <cfRule type="expression" dxfId="95" priority="96">
      <formula>AND(NOT(ISBLANK(L17)), ISBLANK(M17))</formula>
    </cfRule>
  </conditionalFormatting>
  <conditionalFormatting sqref="M17">
    <cfRule type="expression" dxfId="94" priority="95">
      <formula>AND(NOT(ISBLANK(L17)), ISBLANK(M17))</formula>
    </cfRule>
  </conditionalFormatting>
  <conditionalFormatting sqref="D15">
    <cfRule type="expression" dxfId="93" priority="93">
      <formula>AND(NOT(ISBLANK($B15)), ISBLANK(D15))</formula>
    </cfRule>
  </conditionalFormatting>
  <conditionalFormatting sqref="D15">
    <cfRule type="expression" dxfId="92" priority="94">
      <formula>AND(NOT(ISBLANK($B15)), ISBLANK(D15))</formula>
    </cfRule>
  </conditionalFormatting>
  <conditionalFormatting sqref="E20">
    <cfRule type="expression" dxfId="91" priority="92">
      <formula>AND(NOT(ISBLANK($B20)), ISBLANK(E20))</formula>
    </cfRule>
  </conditionalFormatting>
  <conditionalFormatting sqref="E20">
    <cfRule type="expression" dxfId="90" priority="91">
      <formula>AND(NOT(ISBLANK($B20)), ISBLANK(E20))</formula>
    </cfRule>
  </conditionalFormatting>
  <conditionalFormatting sqref="E20">
    <cfRule type="expression" dxfId="89" priority="90">
      <formula>AND(NOT(ISBLANK($B20)), ISBLANK(E20))</formula>
    </cfRule>
  </conditionalFormatting>
  <conditionalFormatting sqref="E21">
    <cfRule type="expression" dxfId="88" priority="89">
      <formula>AND(NOT(ISBLANK($B21)), ISBLANK(E21))</formula>
    </cfRule>
  </conditionalFormatting>
  <conditionalFormatting sqref="E21">
    <cfRule type="expression" dxfId="87" priority="88">
      <formula>AND(NOT(ISBLANK($B21)), ISBLANK(E21))</formula>
    </cfRule>
  </conditionalFormatting>
  <conditionalFormatting sqref="E21">
    <cfRule type="expression" dxfId="86" priority="87">
      <formula>AND(NOT(ISBLANK($B21)), ISBLANK(E21))</formula>
    </cfRule>
  </conditionalFormatting>
  <conditionalFormatting sqref="M17">
    <cfRule type="expression" dxfId="81" priority="82">
      <formula>AND(NOT(ISBLANK(L17)), ISBLANK(M17))</formula>
    </cfRule>
  </conditionalFormatting>
  <conditionalFormatting sqref="M22">
    <cfRule type="expression" dxfId="80" priority="81">
      <formula>AND(NOT(ISBLANK(L22)), ISBLANK(M22))</formula>
    </cfRule>
  </conditionalFormatting>
  <conditionalFormatting sqref="F20">
    <cfRule type="expression" dxfId="77" priority="78">
      <formula>AND(NOT(ISBLANK($B20)), ISBLANK(F20))</formula>
    </cfRule>
  </conditionalFormatting>
  <conditionalFormatting sqref="F21">
    <cfRule type="expression" dxfId="75" priority="76">
      <formula>AND(NOT(ISBLANK($B21)), ISBLANK(F21))</formula>
    </cfRule>
  </conditionalFormatting>
  <conditionalFormatting sqref="F22">
    <cfRule type="expression" dxfId="74" priority="75">
      <formula>AND(NOT(ISBLANK($B22)), ISBLANK(F22))</formula>
    </cfRule>
  </conditionalFormatting>
  <conditionalFormatting sqref="D22">
    <cfRule type="expression" dxfId="73" priority="73">
      <formula>AND(NOT(ISBLANK($B22)), ISBLANK(D22))</formula>
    </cfRule>
  </conditionalFormatting>
  <conditionalFormatting sqref="D22">
    <cfRule type="expression" dxfId="72" priority="74">
      <formula>AND(NOT(ISBLANK($B22)), ISBLANK(D22))</formula>
    </cfRule>
  </conditionalFormatting>
  <conditionalFormatting sqref="M20">
    <cfRule type="expression" dxfId="71" priority="72">
      <formula>AND(NOT(ISBLANK(L20)), ISBLANK(M20))</formula>
    </cfRule>
  </conditionalFormatting>
  <conditionalFormatting sqref="M20">
    <cfRule type="expression" dxfId="70" priority="71">
      <formula>AND(NOT(ISBLANK(L20)), ISBLANK(M20))</formula>
    </cfRule>
  </conditionalFormatting>
  <conditionalFormatting sqref="D20">
    <cfRule type="expression" dxfId="67" priority="67">
      <formula>AND(NOT(ISBLANK($B20)), ISBLANK(D20))</formula>
    </cfRule>
  </conditionalFormatting>
  <conditionalFormatting sqref="D20">
    <cfRule type="expression" dxfId="66" priority="68">
      <formula>AND(NOT(ISBLANK($B20)), ISBLANK(D20))</formula>
    </cfRule>
  </conditionalFormatting>
  <conditionalFormatting sqref="E20">
    <cfRule type="expression" dxfId="65" priority="66">
      <formula>AND(NOT(ISBLANK($B20)), ISBLANK(E20))</formula>
    </cfRule>
  </conditionalFormatting>
  <conditionalFormatting sqref="E20">
    <cfRule type="expression" dxfId="64" priority="65">
      <formula>AND(NOT(ISBLANK($B20)), ISBLANK(E20))</formula>
    </cfRule>
  </conditionalFormatting>
  <conditionalFormatting sqref="M18">
    <cfRule type="expression" dxfId="63" priority="64">
      <formula>AND(NOT(ISBLANK(L18)), ISBLANK(M18))</formula>
    </cfRule>
  </conditionalFormatting>
  <conditionalFormatting sqref="M18">
    <cfRule type="expression" dxfId="62" priority="63">
      <formula>AND(NOT(ISBLANK(L18)), ISBLANK(M18))</formula>
    </cfRule>
  </conditionalFormatting>
  <conditionalFormatting sqref="D21">
    <cfRule type="expression" dxfId="61" priority="61">
      <formula>AND(NOT(ISBLANK($B21)), ISBLANK(D21))</formula>
    </cfRule>
  </conditionalFormatting>
  <conditionalFormatting sqref="D21">
    <cfRule type="expression" dxfId="60" priority="62">
      <formula>AND(NOT(ISBLANK($B21)), ISBLANK(D21))</formula>
    </cfRule>
  </conditionalFormatting>
  <conditionalFormatting sqref="M21">
    <cfRule type="expression" dxfId="59" priority="60">
      <formula>AND(NOT(ISBLANK(L21)), ISBLANK(M21))</formula>
    </cfRule>
  </conditionalFormatting>
  <conditionalFormatting sqref="M21">
    <cfRule type="expression" dxfId="58" priority="59">
      <formula>AND(NOT(ISBLANK(L21)), ISBLANK(M21))</formula>
    </cfRule>
  </conditionalFormatting>
  <conditionalFormatting sqref="M18">
    <cfRule type="expression" dxfId="57" priority="58">
      <formula>AND(NOT(ISBLANK(L18)), ISBLANK(M18))</formula>
    </cfRule>
  </conditionalFormatting>
  <conditionalFormatting sqref="M20">
    <cfRule type="expression" dxfId="56" priority="57">
      <formula>AND(NOT(ISBLANK(L20)), ISBLANK(M20))</formula>
    </cfRule>
  </conditionalFormatting>
  <conditionalFormatting sqref="M20">
    <cfRule type="expression" dxfId="55" priority="56">
      <formula>AND(NOT(ISBLANK(L20)), ISBLANK(M20))</formula>
    </cfRule>
  </conditionalFormatting>
  <conditionalFormatting sqref="M17">
    <cfRule type="expression" dxfId="54" priority="55">
      <formula>AND(NOT(ISBLANK(L17)), ISBLANK(M17))</formula>
    </cfRule>
  </conditionalFormatting>
  <conditionalFormatting sqref="M17">
    <cfRule type="expression" dxfId="53" priority="54">
      <formula>AND(NOT(ISBLANK(L17)), ISBLANK(M17))</formula>
    </cfRule>
  </conditionalFormatting>
  <conditionalFormatting sqref="D17">
    <cfRule type="expression" dxfId="50" priority="50">
      <formula>AND(NOT(ISBLANK($B17)), ISBLANK(D17))</formula>
    </cfRule>
  </conditionalFormatting>
  <conditionalFormatting sqref="D17">
    <cfRule type="expression" dxfId="49" priority="51">
      <formula>AND(NOT(ISBLANK($B17)), ISBLANK(D17))</formula>
    </cfRule>
  </conditionalFormatting>
  <conditionalFormatting sqref="E16">
    <cfRule type="expression" dxfId="48" priority="49">
      <formula>AND(NOT(ISBLANK($B16)), ISBLANK(E16))</formula>
    </cfRule>
  </conditionalFormatting>
  <conditionalFormatting sqref="E16">
    <cfRule type="expression" dxfId="47" priority="48">
      <formula>AND(NOT(ISBLANK($B16)), ISBLANK(E16))</formula>
    </cfRule>
  </conditionalFormatting>
  <conditionalFormatting sqref="M18">
    <cfRule type="expression" dxfId="45" priority="46">
      <formula>AND(NOT(ISBLANK(L18)), ISBLANK(M18))</formula>
    </cfRule>
  </conditionalFormatting>
  <conditionalFormatting sqref="M18">
    <cfRule type="expression" dxfId="44" priority="45">
      <formula>AND(NOT(ISBLANK(L18)), ISBLANK(M18))</formula>
    </cfRule>
  </conditionalFormatting>
  <conditionalFormatting sqref="F19">
    <cfRule type="expression" dxfId="43" priority="44">
      <formula>AND(NOT(ISBLANK($B19)), ISBLANK(F19))</formula>
    </cfRule>
  </conditionalFormatting>
  <conditionalFormatting sqref="D19">
    <cfRule type="expression" dxfId="39" priority="39">
      <formula>AND(NOT(ISBLANK($B19)), ISBLANK(D19))</formula>
    </cfRule>
  </conditionalFormatting>
  <conditionalFormatting sqref="D19">
    <cfRule type="expression" dxfId="38" priority="40">
      <formula>AND(NOT(ISBLANK($B19)), ISBLANK(D19))</formula>
    </cfRule>
  </conditionalFormatting>
  <conditionalFormatting sqref="E19">
    <cfRule type="expression" dxfId="37" priority="38">
      <formula>AND(NOT(ISBLANK($B19)), ISBLANK(E19))</formula>
    </cfRule>
  </conditionalFormatting>
  <conditionalFormatting sqref="E19">
    <cfRule type="expression" dxfId="36" priority="37">
      <formula>AND(NOT(ISBLANK($B19)), ISBLANK(E19))</formula>
    </cfRule>
  </conditionalFormatting>
  <conditionalFormatting sqref="M17">
    <cfRule type="expression" dxfId="35" priority="36">
      <formula>AND(NOT(ISBLANK(L17)), ISBLANK(M17))</formula>
    </cfRule>
  </conditionalFormatting>
  <conditionalFormatting sqref="M17">
    <cfRule type="expression" dxfId="34" priority="35">
      <formula>AND(NOT(ISBLANK(L17)), ISBLANK(M17))</formula>
    </cfRule>
  </conditionalFormatting>
  <conditionalFormatting sqref="M17">
    <cfRule type="expression" dxfId="33" priority="34">
      <formula>AND(NOT(ISBLANK(L17)), ISBLANK(M17))</formula>
    </cfRule>
  </conditionalFormatting>
  <conditionalFormatting sqref="M18">
    <cfRule type="expression" dxfId="28" priority="29">
      <formula>AND(NOT(ISBLANK(L18)), ISBLANK(M18))</formula>
    </cfRule>
  </conditionalFormatting>
  <conditionalFormatting sqref="M18">
    <cfRule type="expression" dxfId="27" priority="28">
      <formula>AND(NOT(ISBLANK(L18)), ISBLANK(M18))</formula>
    </cfRule>
  </conditionalFormatting>
  <conditionalFormatting sqref="D16">
    <cfRule type="expression" dxfId="26" priority="26">
      <formula>AND(NOT(ISBLANK($B16)), ISBLANK(D16))</formula>
    </cfRule>
  </conditionalFormatting>
  <conditionalFormatting sqref="D16">
    <cfRule type="expression" dxfId="25" priority="27">
      <formula>AND(NOT(ISBLANK($B16)), ISBLANK(D16))</formula>
    </cfRule>
  </conditionalFormatting>
  <conditionalFormatting sqref="E21">
    <cfRule type="expression" dxfId="24" priority="25">
      <formula>AND(NOT(ISBLANK($B21)), ISBLANK(E21))</formula>
    </cfRule>
  </conditionalFormatting>
  <conditionalFormatting sqref="E21">
    <cfRule type="expression" dxfId="23" priority="24">
      <formula>AND(NOT(ISBLANK($B21)), ISBLANK(E21))</formula>
    </cfRule>
  </conditionalFormatting>
  <conditionalFormatting sqref="E21">
    <cfRule type="expression" dxfId="22" priority="23">
      <formula>AND(NOT(ISBLANK($B21)), ISBLANK(E21))</formula>
    </cfRule>
  </conditionalFormatting>
  <conditionalFormatting sqref="E22">
    <cfRule type="expression" dxfId="21" priority="22">
      <formula>AND(NOT(ISBLANK($B22)), ISBLANK(E22))</formula>
    </cfRule>
  </conditionalFormatting>
  <conditionalFormatting sqref="E22">
    <cfRule type="expression" dxfId="20" priority="21">
      <formula>AND(NOT(ISBLANK($B22)), ISBLANK(E22))</formula>
    </cfRule>
  </conditionalFormatting>
  <conditionalFormatting sqref="E22">
    <cfRule type="expression" dxfId="19" priority="20">
      <formula>AND(NOT(ISBLANK($B22)), ISBLANK(E22))</formula>
    </cfRule>
  </conditionalFormatting>
  <conditionalFormatting sqref="E15">
    <cfRule type="expression" dxfId="14" priority="15">
      <formula>AND(NOT(ISBLANK($B15)), ISBLANK(E15))</formula>
    </cfRule>
  </conditionalFormatting>
  <conditionalFormatting sqref="E15">
    <cfRule type="expression" dxfId="13" priority="14">
      <formula>AND(NOT(ISBLANK($B15)), ISBLANK(E15))</formula>
    </cfRule>
  </conditionalFormatting>
  <conditionalFormatting sqref="M9">
    <cfRule type="expression" dxfId="12" priority="13">
      <formula>AND(NOT(ISBLANK(L9)), ISBLANK(M9))</formula>
    </cfRule>
  </conditionalFormatting>
  <conditionalFormatting sqref="M9">
    <cfRule type="expression" dxfId="11" priority="12">
      <formula>AND(NOT(ISBLANK(L9)), ISBLANK(M9))</formula>
    </cfRule>
  </conditionalFormatting>
  <conditionalFormatting sqref="M9">
    <cfRule type="expression" dxfId="10" priority="11">
      <formula>AND(NOT(ISBLANK(L9)), ISBLANK(M9))</formula>
    </cfRule>
  </conditionalFormatting>
  <conditionalFormatting sqref="M16">
    <cfRule type="expression" dxfId="9" priority="10">
      <formula>AND(NOT(ISBLANK(L16)), ISBLANK(M16))</formula>
    </cfRule>
  </conditionalFormatting>
  <conditionalFormatting sqref="M16">
    <cfRule type="expression" dxfId="8" priority="9">
      <formula>AND(NOT(ISBLANK(L16)), ISBLANK(M16))</formula>
    </cfRule>
  </conditionalFormatting>
  <conditionalFormatting sqref="M19">
    <cfRule type="expression" dxfId="7" priority="8">
      <formula>AND(NOT(ISBLANK(L19)), ISBLANK(M19))</formula>
    </cfRule>
  </conditionalFormatting>
  <conditionalFormatting sqref="M19">
    <cfRule type="expression" dxfId="6" priority="7">
      <formula>AND(NOT(ISBLANK(L19)), ISBLANK(M19))</formula>
    </cfRule>
  </conditionalFormatting>
  <conditionalFormatting sqref="M25:M26">
    <cfRule type="expression" dxfId="5" priority="6">
      <formula>AND(NOT(ISBLANK(L25)), ISBLANK(M25))</formula>
    </cfRule>
  </conditionalFormatting>
  <conditionalFormatting sqref="M25:M26">
    <cfRule type="expression" dxfId="4" priority="5">
      <formula>AND(NOT(ISBLANK(L25)), ISBLANK(M25))</formula>
    </cfRule>
  </conditionalFormatting>
  <conditionalFormatting sqref="M28">
    <cfRule type="expression" dxfId="3" priority="4">
      <formula>AND(NOT(ISBLANK(L28)), ISBLANK(M28))</formula>
    </cfRule>
  </conditionalFormatting>
  <conditionalFormatting sqref="M28">
    <cfRule type="expression" dxfId="2" priority="3">
      <formula>AND(NOT(ISBLANK(L28)), ISBLANK(M28))</formula>
    </cfRule>
  </conditionalFormatting>
  <conditionalFormatting sqref="P24">
    <cfRule type="expression" dxfId="1" priority="2">
      <formula>AND(NOT(ISBLANK(O24)), ISBLANK(P24))</formula>
    </cfRule>
  </conditionalFormatting>
  <conditionalFormatting sqref="P24">
    <cfRule type="expression" dxfId="0" priority="1">
      <formula>AND(NOT(ISBLANK(O24)), ISBLANK(P24))</formula>
    </cfRule>
  </conditionalFormatting>
  <dataValidations xWindow="105" yWindow="578" count="1">
    <dataValidation allowBlank="1" showInputMessage="1" promptTitle="Input Format" prompt="예) 2018-06-30" sqref="B4:C29" xr:uid="{00000000-0002-0000-0000-000000000000}"/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xWindow="105" yWindow="578" count="6">
        <x14:dataValidation type="list" allowBlank="1" showInputMessage="1" promptTitle="Input Format" prompt="목록(수정 가능)에서 선택하거나 직접 입력하십시오." xr:uid="{00000000-0002-0000-0000-000004000000}">
          <x14:formula1>
            <xm:f>OFFSET(options!$F$2,0,0,COUNTA(options!$F:$F)-1,1)</xm:f>
          </x14:formula1>
          <xm:sqref>AT4:AT29 AB15:AB29 V13 AE4:AE29 AH4:AH29 AK4:AK29 AN4:AN29 AQ4:AQ29 M5:M6 V16:V29 P16 AB13 M8 S15:S16 V5:V11 AB4:AB11 Y4:Y11 Y15:Y29 M21:M29 S18:S29 P4:P5 M10:M19 P13 S11 P8:P9 S5:S9 P19:P29</xm:sqref>
        </x14:dataValidation>
        <x14:dataValidation type="list" allowBlank="1" showInputMessage="1" promptTitle="Input Format" prompt="목록(수정 가능)에서 선택하거나 직접 입력하십시오._x000a_영문 이름 입력 시에는 꼭 성과 이름을 ,로 구분하십시오._x000a_" xr:uid="{00000000-0002-0000-0000-000005000000}">
          <x14:formula1>
            <xm:f>OFFSET(options!$E$2,0,0,COUNTA(options!$E:$E)-1,1)</xm:f>
          </x14:formula1>
          <xm:sqref>AP4:AP29 AS4:AS29 U4:U25 AD4:AD29 AG4:AG29 AJ4:AJ29 AM4:AM29 AA4:AA25 R29 O29 U29 U27 X15:X29 X4:X11 R27 AA29 AA27 R4:R25 O4:O11 L4:L29 O13:O27</xm:sqref>
        </x14:dataValidation>
        <x14:dataValidation type="list" allowBlank="1" showInputMessage="1" showErrorMessage="1" xr:uid="{00000000-0002-0000-0000-000001000000}">
          <x14:formula1>
            <xm:f>options!$B$2:$B$6</xm:f>
          </x14:formula1>
          <xm:sqref>H4:H29</xm:sqref>
        </x14:dataValidation>
        <x14:dataValidation type="list" allowBlank="1" showInputMessage="1" showErrorMessage="1" xr:uid="{00000000-0002-0000-0000-000002000000}">
          <x14:formula1>
            <xm:f>options!$C$2:$C$4</xm:f>
          </x14:formula1>
          <xm:sqref>I4:I29</xm:sqref>
        </x14:dataValidation>
        <x14:dataValidation type="list" allowBlank="1" showInputMessage="1" showErrorMessage="1" xr:uid="{00000000-0002-0000-0000-000003000000}">
          <x14:formula1>
            <xm:f>options!$D$2:$D$4</xm:f>
          </x14:formula1>
          <xm:sqref>G4:G29</xm:sqref>
        </x14:dataValidation>
        <x14:dataValidation type="list" allowBlank="1" showInputMessage="1" showErrorMessage="1" xr:uid="{00000000-0002-0000-0000-000006000000}">
          <x14:formula1>
            <xm:f>OFFSET(options!$A$2,0,0,COUNTA(options!$A:$A)-1,1)</xm:f>
          </x14:formula1>
          <xm:sqref>D4:D29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18"/>
  <sheetViews>
    <sheetView workbookViewId="0">
      <selection activeCell="A32" sqref="A32"/>
    </sheetView>
  </sheetViews>
  <sheetFormatPr defaultRowHeight="16.5"/>
  <cols>
    <col min="1" max="1" width="30.625" customWidth="1"/>
    <col min="2" max="2" width="24.625" customWidth="1"/>
    <col min="3" max="3" width="15.625" customWidth="1"/>
    <col min="5" max="5" width="19.375" bestFit="1" customWidth="1"/>
    <col min="6" max="6" width="34.625" bestFit="1" customWidth="1"/>
  </cols>
  <sheetData>
    <row r="1" spans="1:6">
      <c r="A1" s="2" t="s">
        <v>0</v>
      </c>
      <c r="B1" s="2" t="s">
        <v>46</v>
      </c>
      <c r="C1" s="2" t="s">
        <v>47</v>
      </c>
      <c r="D1" s="2" t="s">
        <v>54</v>
      </c>
      <c r="E1" s="2" t="s">
        <v>63</v>
      </c>
      <c r="F1" s="2" t="s">
        <v>58</v>
      </c>
    </row>
    <row r="2" spans="1:6">
      <c r="A2" t="s">
        <v>23</v>
      </c>
      <c r="B2" t="s">
        <v>238</v>
      </c>
      <c r="C2" t="s">
        <v>48</v>
      </c>
      <c r="D2" t="s">
        <v>51</v>
      </c>
      <c r="E2" s="5" t="s">
        <v>240</v>
      </c>
      <c r="F2" t="s">
        <v>59</v>
      </c>
    </row>
    <row r="3" spans="1:6">
      <c r="A3" t="s">
        <v>228</v>
      </c>
      <c r="B3" t="s">
        <v>239</v>
      </c>
      <c r="C3" t="s">
        <v>49</v>
      </c>
      <c r="D3" t="s">
        <v>53</v>
      </c>
      <c r="E3" s="5" t="s">
        <v>241</v>
      </c>
      <c r="F3" t="s">
        <v>61</v>
      </c>
    </row>
    <row r="4" spans="1:6">
      <c r="A4" t="s">
        <v>229</v>
      </c>
      <c r="B4" t="s">
        <v>45</v>
      </c>
      <c r="C4" t="s">
        <v>50</v>
      </c>
      <c r="D4" t="s">
        <v>52</v>
      </c>
      <c r="E4" s="5" t="s">
        <v>242</v>
      </c>
      <c r="F4" t="s">
        <v>173</v>
      </c>
    </row>
    <row r="5" spans="1:6">
      <c r="A5" t="s">
        <v>230</v>
      </c>
      <c r="E5" s="5" t="s">
        <v>243</v>
      </c>
      <c r="F5" t="s">
        <v>60</v>
      </c>
    </row>
    <row r="6" spans="1:6">
      <c r="A6" t="s">
        <v>231</v>
      </c>
      <c r="E6" s="5" t="s">
        <v>244</v>
      </c>
      <c r="F6" t="s">
        <v>62</v>
      </c>
    </row>
    <row r="7" spans="1:6">
      <c r="A7" t="s">
        <v>232</v>
      </c>
      <c r="E7" s="5" t="s">
        <v>80</v>
      </c>
      <c r="F7" t="s">
        <v>171</v>
      </c>
    </row>
    <row r="8" spans="1:6">
      <c r="A8" t="s">
        <v>27</v>
      </c>
      <c r="E8" s="5" t="s">
        <v>81</v>
      </c>
      <c r="F8" t="s">
        <v>172</v>
      </c>
    </row>
    <row r="9" spans="1:6">
      <c r="A9" t="s">
        <v>29</v>
      </c>
      <c r="E9" s="5" t="s">
        <v>245</v>
      </c>
    </row>
    <row r="10" spans="1:6">
      <c r="A10" t="s">
        <v>174</v>
      </c>
      <c r="E10" s="5" t="s">
        <v>82</v>
      </c>
    </row>
    <row r="11" spans="1:6">
      <c r="A11" t="s">
        <v>175</v>
      </c>
      <c r="E11" s="5" t="s">
        <v>83</v>
      </c>
    </row>
    <row r="12" spans="1:6">
      <c r="A12" t="s">
        <v>176</v>
      </c>
      <c r="E12" s="5" t="s">
        <v>84</v>
      </c>
    </row>
    <row r="13" spans="1:6">
      <c r="A13" t="s">
        <v>32</v>
      </c>
      <c r="E13" s="5" t="s">
        <v>214</v>
      </c>
    </row>
    <row r="14" spans="1:6">
      <c r="A14" t="s">
        <v>234</v>
      </c>
      <c r="E14" s="5" t="s">
        <v>202</v>
      </c>
    </row>
    <row r="15" spans="1:6">
      <c r="A15" t="s">
        <v>28</v>
      </c>
      <c r="E15" s="5" t="s">
        <v>246</v>
      </c>
    </row>
    <row r="16" spans="1:6">
      <c r="A16" t="s">
        <v>30</v>
      </c>
      <c r="E16" s="5" t="s">
        <v>226</v>
      </c>
    </row>
    <row r="17" spans="1:5">
      <c r="A17" t="s">
        <v>31</v>
      </c>
      <c r="E17" s="5" t="s">
        <v>85</v>
      </c>
    </row>
    <row r="18" spans="1:5">
      <c r="A18" t="s">
        <v>35</v>
      </c>
      <c r="E18" s="5" t="s">
        <v>196</v>
      </c>
    </row>
    <row r="19" spans="1:5">
      <c r="A19" t="s">
        <v>235</v>
      </c>
      <c r="E19" s="5" t="s">
        <v>86</v>
      </c>
    </row>
    <row r="20" spans="1:5">
      <c r="A20" t="s">
        <v>37</v>
      </c>
      <c r="E20" s="5" t="s">
        <v>247</v>
      </c>
    </row>
    <row r="21" spans="1:5">
      <c r="A21" t="s">
        <v>39</v>
      </c>
      <c r="E21" s="5" t="s">
        <v>87</v>
      </c>
    </row>
    <row r="22" spans="1:5">
      <c r="A22" t="s">
        <v>236</v>
      </c>
      <c r="E22" s="5" t="s">
        <v>248</v>
      </c>
    </row>
    <row r="23" spans="1:5">
      <c r="A23" t="s">
        <v>177</v>
      </c>
      <c r="E23" s="5" t="s">
        <v>88</v>
      </c>
    </row>
    <row r="24" spans="1:5">
      <c r="A24" t="s">
        <v>178</v>
      </c>
      <c r="E24" s="5" t="s">
        <v>198</v>
      </c>
    </row>
    <row r="25" spans="1:5">
      <c r="A25" t="s">
        <v>179</v>
      </c>
      <c r="E25" s="5" t="s">
        <v>89</v>
      </c>
    </row>
    <row r="26" spans="1:5">
      <c r="A26" t="s">
        <v>233</v>
      </c>
      <c r="E26" s="5" t="s">
        <v>90</v>
      </c>
    </row>
    <row r="27" spans="1:5">
      <c r="A27" t="s">
        <v>42</v>
      </c>
      <c r="E27" s="5" t="s">
        <v>91</v>
      </c>
    </row>
    <row r="28" spans="1:5">
      <c r="A28" t="s">
        <v>22</v>
      </c>
      <c r="E28" s="5" t="s">
        <v>211</v>
      </c>
    </row>
    <row r="29" spans="1:5">
      <c r="A29" t="s">
        <v>24</v>
      </c>
      <c r="E29" s="5" t="s">
        <v>249</v>
      </c>
    </row>
    <row r="30" spans="1:5">
      <c r="A30" t="s">
        <v>25</v>
      </c>
      <c r="E30" s="5" t="s">
        <v>92</v>
      </c>
    </row>
    <row r="31" spans="1:5">
      <c r="A31" t="s">
        <v>26</v>
      </c>
      <c r="E31" s="5" t="s">
        <v>250</v>
      </c>
    </row>
    <row r="32" spans="1:5">
      <c r="A32" t="s">
        <v>303</v>
      </c>
      <c r="E32" s="5" t="s">
        <v>251</v>
      </c>
    </row>
    <row r="33" spans="1:5">
      <c r="A33" t="s">
        <v>33</v>
      </c>
      <c r="E33" s="5" t="s">
        <v>252</v>
      </c>
    </row>
    <row r="34" spans="1:5">
      <c r="A34" t="s">
        <v>34</v>
      </c>
      <c r="E34" s="5" t="s">
        <v>93</v>
      </c>
    </row>
    <row r="35" spans="1:5">
      <c r="A35" t="s">
        <v>36</v>
      </c>
      <c r="E35" s="5" t="s">
        <v>253</v>
      </c>
    </row>
    <row r="36" spans="1:5">
      <c r="A36" t="s">
        <v>38</v>
      </c>
      <c r="E36" s="5" t="s">
        <v>254</v>
      </c>
    </row>
    <row r="37" spans="1:5">
      <c r="A37" t="s">
        <v>40</v>
      </c>
      <c r="E37" s="5" t="s">
        <v>255</v>
      </c>
    </row>
    <row r="38" spans="1:5">
      <c r="A38" t="s">
        <v>41</v>
      </c>
      <c r="E38" s="5" t="s">
        <v>184</v>
      </c>
    </row>
    <row r="39" spans="1:5">
      <c r="A39" t="s">
        <v>237</v>
      </c>
      <c r="E39" s="5" t="s">
        <v>94</v>
      </c>
    </row>
    <row r="40" spans="1:5">
      <c r="A40" t="s">
        <v>43</v>
      </c>
      <c r="E40" s="5" t="s">
        <v>73</v>
      </c>
    </row>
    <row r="41" spans="1:5">
      <c r="A41" t="s">
        <v>44</v>
      </c>
      <c r="E41" s="5" t="s">
        <v>95</v>
      </c>
    </row>
    <row r="42" spans="1:5">
      <c r="E42" s="5" t="s">
        <v>96</v>
      </c>
    </row>
    <row r="43" spans="1:5">
      <c r="E43" s="5" t="s">
        <v>256</v>
      </c>
    </row>
    <row r="44" spans="1:5">
      <c r="E44" s="5" t="s">
        <v>97</v>
      </c>
    </row>
    <row r="45" spans="1:5">
      <c r="E45" s="5" t="s">
        <v>98</v>
      </c>
    </row>
    <row r="46" spans="1:5">
      <c r="E46" s="5" t="s">
        <v>216</v>
      </c>
    </row>
    <row r="47" spans="1:5">
      <c r="E47" s="5" t="s">
        <v>222</v>
      </c>
    </row>
    <row r="48" spans="1:5">
      <c r="E48" s="5" t="s">
        <v>99</v>
      </c>
    </row>
    <row r="49" spans="5:5">
      <c r="E49" s="5" t="s">
        <v>257</v>
      </c>
    </row>
    <row r="50" spans="5:5">
      <c r="E50" s="5" t="s">
        <v>197</v>
      </c>
    </row>
    <row r="51" spans="5:5">
      <c r="E51" s="5" t="s">
        <v>206</v>
      </c>
    </row>
    <row r="52" spans="5:5">
      <c r="E52" s="5" t="s">
        <v>258</v>
      </c>
    </row>
    <row r="53" spans="5:5">
      <c r="E53" s="5" t="s">
        <v>186</v>
      </c>
    </row>
    <row r="54" spans="5:5">
      <c r="E54" s="5" t="s">
        <v>259</v>
      </c>
    </row>
    <row r="55" spans="5:5">
      <c r="E55" s="5" t="s">
        <v>71</v>
      </c>
    </row>
    <row r="56" spans="5:5">
      <c r="E56" s="5" t="s">
        <v>260</v>
      </c>
    </row>
    <row r="57" spans="5:5">
      <c r="E57" s="5" t="s">
        <v>100</v>
      </c>
    </row>
    <row r="58" spans="5:5">
      <c r="E58" s="5" t="s">
        <v>261</v>
      </c>
    </row>
    <row r="59" spans="5:5">
      <c r="E59" s="5" t="s">
        <v>101</v>
      </c>
    </row>
    <row r="60" spans="5:5">
      <c r="E60" s="5" t="s">
        <v>262</v>
      </c>
    </row>
    <row r="61" spans="5:5">
      <c r="E61" s="5" t="s">
        <v>102</v>
      </c>
    </row>
    <row r="62" spans="5:5">
      <c r="E62" s="5" t="s">
        <v>227</v>
      </c>
    </row>
    <row r="63" spans="5:5">
      <c r="E63" s="5" t="s">
        <v>75</v>
      </c>
    </row>
    <row r="64" spans="5:5">
      <c r="E64" s="5" t="s">
        <v>182</v>
      </c>
    </row>
    <row r="65" spans="5:5">
      <c r="E65" s="5" t="s">
        <v>263</v>
      </c>
    </row>
    <row r="66" spans="5:5">
      <c r="E66" s="5" t="s">
        <v>103</v>
      </c>
    </row>
    <row r="67" spans="5:5">
      <c r="E67" s="5" t="s">
        <v>76</v>
      </c>
    </row>
    <row r="68" spans="5:5">
      <c r="E68" s="5" t="s">
        <v>180</v>
      </c>
    </row>
    <row r="69" spans="5:5">
      <c r="E69" s="5" t="s">
        <v>192</v>
      </c>
    </row>
    <row r="70" spans="5:5">
      <c r="E70" s="5" t="s">
        <v>264</v>
      </c>
    </row>
    <row r="71" spans="5:5">
      <c r="E71" s="5" t="s">
        <v>218</v>
      </c>
    </row>
    <row r="72" spans="5:5">
      <c r="E72" s="5" t="s">
        <v>208</v>
      </c>
    </row>
    <row r="73" spans="5:5">
      <c r="E73" s="5" t="s">
        <v>265</v>
      </c>
    </row>
    <row r="74" spans="5:5">
      <c r="E74" s="5" t="s">
        <v>219</v>
      </c>
    </row>
    <row r="75" spans="5:5">
      <c r="E75" s="5" t="s">
        <v>77</v>
      </c>
    </row>
    <row r="76" spans="5:5">
      <c r="E76" s="5" t="s">
        <v>183</v>
      </c>
    </row>
    <row r="77" spans="5:5">
      <c r="E77" s="5" t="s">
        <v>199</v>
      </c>
    </row>
    <row r="78" spans="5:5">
      <c r="E78" s="5" t="s">
        <v>104</v>
      </c>
    </row>
    <row r="79" spans="5:5">
      <c r="E79" s="5" t="s">
        <v>105</v>
      </c>
    </row>
    <row r="80" spans="5:5">
      <c r="E80" s="5" t="s">
        <v>200</v>
      </c>
    </row>
    <row r="81" spans="5:5">
      <c r="E81" s="5" t="s">
        <v>106</v>
      </c>
    </row>
    <row r="82" spans="5:5">
      <c r="E82" s="5" t="s">
        <v>107</v>
      </c>
    </row>
    <row r="83" spans="5:5">
      <c r="E83" s="5" t="s">
        <v>210</v>
      </c>
    </row>
    <row r="84" spans="5:5">
      <c r="E84" s="5" t="s">
        <v>266</v>
      </c>
    </row>
    <row r="85" spans="5:5">
      <c r="E85" s="5" t="s">
        <v>108</v>
      </c>
    </row>
    <row r="86" spans="5:5">
      <c r="E86" s="5" t="s">
        <v>109</v>
      </c>
    </row>
    <row r="87" spans="5:5">
      <c r="E87" s="5" t="s">
        <v>267</v>
      </c>
    </row>
    <row r="88" spans="5:5">
      <c r="E88" s="5" t="s">
        <v>268</v>
      </c>
    </row>
    <row r="89" spans="5:5">
      <c r="E89" s="5" t="s">
        <v>110</v>
      </c>
    </row>
    <row r="90" spans="5:5">
      <c r="E90" s="5" t="s">
        <v>111</v>
      </c>
    </row>
    <row r="91" spans="5:5">
      <c r="E91" s="5" t="s">
        <v>112</v>
      </c>
    </row>
    <row r="92" spans="5:5">
      <c r="E92" s="5" t="s">
        <v>113</v>
      </c>
    </row>
    <row r="93" spans="5:5">
      <c r="E93" s="5" t="s">
        <v>195</v>
      </c>
    </row>
    <row r="94" spans="5:5">
      <c r="E94" s="5" t="s">
        <v>114</v>
      </c>
    </row>
    <row r="95" spans="5:5">
      <c r="E95" s="5" t="s">
        <v>217</v>
      </c>
    </row>
    <row r="96" spans="5:5">
      <c r="E96" s="5" t="s">
        <v>269</v>
      </c>
    </row>
    <row r="97" spans="5:5">
      <c r="E97" s="5" t="s">
        <v>115</v>
      </c>
    </row>
    <row r="98" spans="5:5">
      <c r="E98" s="5" t="s">
        <v>270</v>
      </c>
    </row>
    <row r="99" spans="5:5">
      <c r="E99" s="5" t="s">
        <v>116</v>
      </c>
    </row>
    <row r="100" spans="5:5">
      <c r="E100" s="5" t="s">
        <v>65</v>
      </c>
    </row>
    <row r="101" spans="5:5">
      <c r="E101" s="5" t="s">
        <v>66</v>
      </c>
    </row>
    <row r="102" spans="5:5">
      <c r="E102" s="5" t="s">
        <v>117</v>
      </c>
    </row>
    <row r="103" spans="5:5">
      <c r="E103" s="5" t="s">
        <v>118</v>
      </c>
    </row>
    <row r="104" spans="5:5">
      <c r="E104" s="5" t="s">
        <v>220</v>
      </c>
    </row>
    <row r="105" spans="5:5">
      <c r="E105" s="5" t="s">
        <v>119</v>
      </c>
    </row>
    <row r="106" spans="5:5">
      <c r="E106" s="5" t="s">
        <v>204</v>
      </c>
    </row>
    <row r="107" spans="5:5">
      <c r="E107" s="5" t="s">
        <v>205</v>
      </c>
    </row>
    <row r="108" spans="5:5">
      <c r="E108" s="5" t="s">
        <v>271</v>
      </c>
    </row>
    <row r="109" spans="5:5">
      <c r="E109" s="5" t="s">
        <v>120</v>
      </c>
    </row>
    <row r="110" spans="5:5">
      <c r="E110" s="5" t="s">
        <v>68</v>
      </c>
    </row>
    <row r="111" spans="5:5">
      <c r="E111" s="5" t="s">
        <v>272</v>
      </c>
    </row>
    <row r="112" spans="5:5">
      <c r="E112" s="5" t="s">
        <v>273</v>
      </c>
    </row>
    <row r="113" spans="5:5">
      <c r="E113" s="5" t="s">
        <v>274</v>
      </c>
    </row>
    <row r="114" spans="5:5">
      <c r="E114" s="5" t="s">
        <v>121</v>
      </c>
    </row>
    <row r="115" spans="5:5">
      <c r="E115" s="5" t="s">
        <v>122</v>
      </c>
    </row>
    <row r="116" spans="5:5">
      <c r="E116" s="5" t="s">
        <v>123</v>
      </c>
    </row>
    <row r="117" spans="5:5">
      <c r="E117" s="5" t="s">
        <v>181</v>
      </c>
    </row>
    <row r="118" spans="5:5">
      <c r="E118" s="5" t="s">
        <v>275</v>
      </c>
    </row>
    <row r="119" spans="5:5">
      <c r="E119" s="5" t="s">
        <v>124</v>
      </c>
    </row>
    <row r="120" spans="5:5">
      <c r="E120" s="5" t="s">
        <v>125</v>
      </c>
    </row>
    <row r="121" spans="5:5">
      <c r="E121" s="5" t="s">
        <v>126</v>
      </c>
    </row>
    <row r="122" spans="5:5">
      <c r="E122" s="5" t="s">
        <v>276</v>
      </c>
    </row>
    <row r="123" spans="5:5">
      <c r="E123" s="5" t="s">
        <v>209</v>
      </c>
    </row>
    <row r="124" spans="5:5">
      <c r="E124" s="5" t="s">
        <v>277</v>
      </c>
    </row>
    <row r="125" spans="5:5">
      <c r="E125" s="5" t="s">
        <v>203</v>
      </c>
    </row>
    <row r="126" spans="5:5">
      <c r="E126" s="5" t="s">
        <v>278</v>
      </c>
    </row>
    <row r="127" spans="5:5">
      <c r="E127" s="5" t="s">
        <v>127</v>
      </c>
    </row>
    <row r="128" spans="5:5">
      <c r="E128" s="5" t="s">
        <v>279</v>
      </c>
    </row>
    <row r="129" spans="5:5">
      <c r="E129" s="5" t="s">
        <v>280</v>
      </c>
    </row>
    <row r="130" spans="5:5">
      <c r="E130" s="5" t="s">
        <v>201</v>
      </c>
    </row>
    <row r="131" spans="5:5">
      <c r="E131" s="5" t="s">
        <v>128</v>
      </c>
    </row>
    <row r="132" spans="5:5">
      <c r="E132" s="5" t="s">
        <v>281</v>
      </c>
    </row>
    <row r="133" spans="5:5">
      <c r="E133" s="5" t="s">
        <v>129</v>
      </c>
    </row>
    <row r="134" spans="5:5">
      <c r="E134" s="5" t="s">
        <v>282</v>
      </c>
    </row>
    <row r="135" spans="5:5">
      <c r="E135" s="5" t="s">
        <v>189</v>
      </c>
    </row>
    <row r="136" spans="5:5">
      <c r="E136" s="5" t="s">
        <v>130</v>
      </c>
    </row>
    <row r="137" spans="5:5">
      <c r="E137" s="5" t="s">
        <v>283</v>
      </c>
    </row>
    <row r="138" spans="5:5">
      <c r="E138" s="5" t="s">
        <v>131</v>
      </c>
    </row>
    <row r="139" spans="5:5">
      <c r="E139" s="5" t="s">
        <v>132</v>
      </c>
    </row>
    <row r="140" spans="5:5">
      <c r="E140" s="5" t="s">
        <v>133</v>
      </c>
    </row>
    <row r="141" spans="5:5">
      <c r="E141" s="5" t="s">
        <v>284</v>
      </c>
    </row>
    <row r="142" spans="5:5">
      <c r="E142" s="5" t="s">
        <v>134</v>
      </c>
    </row>
    <row r="143" spans="5:5">
      <c r="E143" s="5" t="s">
        <v>135</v>
      </c>
    </row>
    <row r="144" spans="5:5">
      <c r="E144" s="5" t="s">
        <v>136</v>
      </c>
    </row>
    <row r="145" spans="5:5">
      <c r="E145" s="5" t="s">
        <v>285</v>
      </c>
    </row>
    <row r="146" spans="5:5">
      <c r="E146" s="5" t="s">
        <v>137</v>
      </c>
    </row>
    <row r="147" spans="5:5">
      <c r="E147" s="5" t="s">
        <v>225</v>
      </c>
    </row>
    <row r="148" spans="5:5">
      <c r="E148" s="5" t="s">
        <v>138</v>
      </c>
    </row>
    <row r="149" spans="5:5">
      <c r="E149" s="5" t="s">
        <v>286</v>
      </c>
    </row>
    <row r="150" spans="5:5">
      <c r="E150" s="5" t="s">
        <v>139</v>
      </c>
    </row>
    <row r="151" spans="5:5">
      <c r="E151" s="5" t="s">
        <v>188</v>
      </c>
    </row>
    <row r="152" spans="5:5">
      <c r="E152" s="5" t="s">
        <v>193</v>
      </c>
    </row>
    <row r="153" spans="5:5">
      <c r="E153" s="5" t="s">
        <v>64</v>
      </c>
    </row>
    <row r="154" spans="5:5">
      <c r="E154" s="5" t="s">
        <v>287</v>
      </c>
    </row>
    <row r="155" spans="5:5">
      <c r="E155" s="5" t="s">
        <v>288</v>
      </c>
    </row>
    <row r="156" spans="5:5">
      <c r="E156" s="5" t="s">
        <v>212</v>
      </c>
    </row>
    <row r="157" spans="5:5">
      <c r="E157" s="5" t="s">
        <v>140</v>
      </c>
    </row>
    <row r="158" spans="5:5">
      <c r="E158" s="5" t="s">
        <v>289</v>
      </c>
    </row>
    <row r="159" spans="5:5">
      <c r="E159" s="5" t="s">
        <v>290</v>
      </c>
    </row>
    <row r="160" spans="5:5">
      <c r="E160" s="5" t="s">
        <v>223</v>
      </c>
    </row>
    <row r="161" spans="5:5">
      <c r="E161" s="5" t="s">
        <v>78</v>
      </c>
    </row>
    <row r="162" spans="5:5">
      <c r="E162" s="5" t="s">
        <v>291</v>
      </c>
    </row>
    <row r="163" spans="5:5">
      <c r="E163" s="5" t="s">
        <v>72</v>
      </c>
    </row>
    <row r="164" spans="5:5">
      <c r="E164" s="5" t="s">
        <v>141</v>
      </c>
    </row>
    <row r="165" spans="5:5">
      <c r="E165" s="5" t="s">
        <v>207</v>
      </c>
    </row>
    <row r="166" spans="5:5">
      <c r="E166" s="5" t="s">
        <v>142</v>
      </c>
    </row>
    <row r="167" spans="5:5">
      <c r="E167" s="5" t="s">
        <v>143</v>
      </c>
    </row>
    <row r="168" spans="5:5">
      <c r="E168" s="5" t="s">
        <v>144</v>
      </c>
    </row>
    <row r="169" spans="5:5">
      <c r="E169" s="5" t="s">
        <v>292</v>
      </c>
    </row>
    <row r="170" spans="5:5">
      <c r="E170" s="5" t="s">
        <v>145</v>
      </c>
    </row>
    <row r="171" spans="5:5">
      <c r="E171" s="5" t="s">
        <v>146</v>
      </c>
    </row>
    <row r="172" spans="5:5">
      <c r="E172" s="5" t="s">
        <v>293</v>
      </c>
    </row>
    <row r="173" spans="5:5">
      <c r="E173" s="5" t="s">
        <v>67</v>
      </c>
    </row>
    <row r="174" spans="5:5">
      <c r="E174" s="5" t="s">
        <v>147</v>
      </c>
    </row>
    <row r="175" spans="5:5">
      <c r="E175" s="5" t="s">
        <v>148</v>
      </c>
    </row>
    <row r="176" spans="5:5">
      <c r="E176" s="5" t="s">
        <v>149</v>
      </c>
    </row>
    <row r="177" spans="5:5">
      <c r="E177" s="5" t="s">
        <v>150</v>
      </c>
    </row>
    <row r="178" spans="5:5">
      <c r="E178" s="5" t="s">
        <v>187</v>
      </c>
    </row>
    <row r="179" spans="5:5">
      <c r="E179" s="5" t="s">
        <v>151</v>
      </c>
    </row>
    <row r="180" spans="5:5">
      <c r="E180" s="5" t="s">
        <v>74</v>
      </c>
    </row>
    <row r="181" spans="5:5">
      <c r="E181" s="5" t="s">
        <v>221</v>
      </c>
    </row>
    <row r="182" spans="5:5">
      <c r="E182" s="5" t="s">
        <v>294</v>
      </c>
    </row>
    <row r="183" spans="5:5">
      <c r="E183" s="5" t="s">
        <v>185</v>
      </c>
    </row>
    <row r="184" spans="5:5">
      <c r="E184" s="5" t="s">
        <v>152</v>
      </c>
    </row>
    <row r="185" spans="5:5">
      <c r="E185" s="5" t="s">
        <v>153</v>
      </c>
    </row>
    <row r="186" spans="5:5">
      <c r="E186" s="5" t="s">
        <v>154</v>
      </c>
    </row>
    <row r="187" spans="5:5">
      <c r="E187" s="5" t="s">
        <v>295</v>
      </c>
    </row>
    <row r="188" spans="5:5">
      <c r="E188" s="5" t="s">
        <v>296</v>
      </c>
    </row>
    <row r="189" spans="5:5">
      <c r="E189" s="5" t="s">
        <v>297</v>
      </c>
    </row>
    <row r="190" spans="5:5">
      <c r="E190" s="5" t="s">
        <v>155</v>
      </c>
    </row>
    <row r="191" spans="5:5">
      <c r="E191" s="5" t="s">
        <v>156</v>
      </c>
    </row>
    <row r="192" spans="5:5">
      <c r="E192" s="5" t="s">
        <v>157</v>
      </c>
    </row>
    <row r="193" spans="5:5">
      <c r="E193" s="5" t="s">
        <v>298</v>
      </c>
    </row>
    <row r="194" spans="5:5">
      <c r="E194" s="5" t="s">
        <v>299</v>
      </c>
    </row>
    <row r="195" spans="5:5">
      <c r="E195" s="5" t="s">
        <v>158</v>
      </c>
    </row>
    <row r="196" spans="5:5">
      <c r="E196" s="5" t="s">
        <v>159</v>
      </c>
    </row>
    <row r="197" spans="5:5">
      <c r="E197" s="5" t="s">
        <v>194</v>
      </c>
    </row>
    <row r="198" spans="5:5">
      <c r="E198" s="5" t="s">
        <v>224</v>
      </c>
    </row>
    <row r="199" spans="5:5">
      <c r="E199" s="5" t="s">
        <v>160</v>
      </c>
    </row>
    <row r="200" spans="5:5">
      <c r="E200" s="5" t="s">
        <v>161</v>
      </c>
    </row>
    <row r="201" spans="5:5">
      <c r="E201" s="5" t="s">
        <v>300</v>
      </c>
    </row>
    <row r="202" spans="5:5">
      <c r="E202" s="5" t="s">
        <v>190</v>
      </c>
    </row>
    <row r="203" spans="5:5">
      <c r="E203" s="5" t="s">
        <v>70</v>
      </c>
    </row>
    <row r="204" spans="5:5">
      <c r="E204" s="5" t="s">
        <v>215</v>
      </c>
    </row>
    <row r="205" spans="5:5">
      <c r="E205" s="5" t="s">
        <v>191</v>
      </c>
    </row>
    <row r="206" spans="5:5">
      <c r="E206" s="5" t="s">
        <v>162</v>
      </c>
    </row>
    <row r="207" spans="5:5">
      <c r="E207" s="5" t="s">
        <v>213</v>
      </c>
    </row>
    <row r="208" spans="5:5">
      <c r="E208" s="5" t="s">
        <v>163</v>
      </c>
    </row>
    <row r="209" spans="5:5">
      <c r="E209" s="5" t="s">
        <v>301</v>
      </c>
    </row>
    <row r="210" spans="5:5">
      <c r="E210" s="5" t="s">
        <v>164</v>
      </c>
    </row>
    <row r="211" spans="5:5">
      <c r="E211" s="5" t="s">
        <v>165</v>
      </c>
    </row>
    <row r="212" spans="5:5">
      <c r="E212" s="5" t="s">
        <v>166</v>
      </c>
    </row>
    <row r="213" spans="5:5">
      <c r="E213" s="5" t="s">
        <v>69</v>
      </c>
    </row>
    <row r="214" spans="5:5">
      <c r="E214" s="5" t="s">
        <v>167</v>
      </c>
    </row>
    <row r="215" spans="5:5">
      <c r="E215" s="5" t="s">
        <v>302</v>
      </c>
    </row>
    <row r="216" spans="5:5">
      <c r="E216" s="5" t="s">
        <v>168</v>
      </c>
    </row>
    <row r="217" spans="5:5">
      <c r="E217" s="5" t="s">
        <v>169</v>
      </c>
    </row>
    <row r="218" spans="5:5">
      <c r="E218" s="5" t="s">
        <v>170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Template</vt:lpstr>
      <vt:lpstr>options</vt:lpstr>
    </vt:vector>
  </TitlesOfParts>
  <Company>DASSAULT SYSTEMES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Chanyoung</dc:creator>
  <cp:lastModifiedBy>KIM Seungwon</cp:lastModifiedBy>
  <dcterms:created xsi:type="dcterms:W3CDTF">2018-06-26T00:41:50Z</dcterms:created>
  <dcterms:modified xsi:type="dcterms:W3CDTF">2025-10-10T01:16:35Z</dcterms:modified>
</cp:coreProperties>
</file>